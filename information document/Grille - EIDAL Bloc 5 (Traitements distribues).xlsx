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eauges75-my.sharepoint.com/personal/rpillon2_eductive-nantes_fr/Documents/RP/Soutenances/M2 - juillet 2026/"/>
    </mc:Choice>
  </mc:AlternateContent>
  <xr:revisionPtr revIDLastSave="1" documentId="8_{1ACB31CA-56FE-D94A-83A1-77BEF3716AA9}" xr6:coauthVersionLast="47" xr6:coauthVersionMax="47" xr10:uidLastSave="{0961566D-BCB9-49BA-8906-F1BCE3196FDB}"/>
  <bookViews>
    <workbookView xWindow="28680" yWindow="-1785" windowWidth="21840" windowHeight="13020" activeTab="1" xr2:uid="{4A65A7CE-C5F8-44F2-9E84-662929522121}"/>
  </bookViews>
  <sheets>
    <sheet name="Accueil RNCP" sheetId="3" r:id="rId1"/>
    <sheet name="Grille d'évaluat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" i="4" l="1"/>
  <c r="AO8" i="4"/>
  <c r="AP8" i="4"/>
  <c r="AQ8" i="4"/>
  <c r="AR8" i="4"/>
  <c r="AS8" i="4"/>
  <c r="AT8" i="4"/>
  <c r="AU8" i="4"/>
  <c r="AV8" i="4"/>
  <c r="AW8" i="4"/>
  <c r="AX8" i="4"/>
  <c r="AY8" i="4"/>
  <c r="AZ8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R6" i="4"/>
  <c r="AL6" i="4" s="1"/>
  <c r="R7" i="4"/>
  <c r="AL7" i="4" s="1"/>
  <c r="R8" i="4"/>
  <c r="R9" i="4"/>
  <c r="AL9" i="4" s="1"/>
  <c r="AM9" i="4" s="1"/>
  <c r="R10" i="4"/>
  <c r="R11" i="4"/>
  <c r="AL11" i="4" s="1"/>
  <c r="AM11" i="4" s="1"/>
  <c r="R12" i="4"/>
  <c r="AL12" i="4" s="1"/>
  <c r="AM12" i="4" s="1"/>
  <c r="R13" i="4"/>
  <c r="AL13" i="4" s="1"/>
  <c r="AM13" i="4" s="1"/>
  <c r="R14" i="4"/>
  <c r="AL14" i="4" s="1"/>
  <c r="AM14" i="4" s="1"/>
  <c r="R15" i="4"/>
  <c r="AL15" i="4" s="1"/>
  <c r="AM15" i="4" s="1"/>
  <c r="R16" i="4"/>
  <c r="AL16" i="4" s="1"/>
  <c r="AM16" i="4" s="1"/>
  <c r="R17" i="4"/>
  <c r="AL17" i="4" s="1"/>
  <c r="AM17" i="4" s="1"/>
  <c r="R18" i="4"/>
  <c r="AL18" i="4" s="1"/>
  <c r="AM18" i="4" s="1"/>
  <c r="R19" i="4"/>
  <c r="AL19" i="4" s="1"/>
  <c r="AM19" i="4" s="1"/>
  <c r="R20" i="4"/>
  <c r="AL20" i="4" s="1"/>
  <c r="AM20" i="4" s="1"/>
  <c r="R21" i="4"/>
  <c r="AL21" i="4" s="1"/>
  <c r="AM21" i="4" s="1"/>
  <c r="R22" i="4"/>
  <c r="R23" i="4"/>
  <c r="AL23" i="4" s="1"/>
  <c r="AM23" i="4" s="1"/>
  <c r="R24" i="4"/>
  <c r="AL24" i="4" s="1"/>
  <c r="AM24" i="4" s="1"/>
  <c r="R25" i="4"/>
  <c r="AL25" i="4" s="1"/>
  <c r="AM25" i="4" s="1"/>
  <c r="R26" i="4"/>
  <c r="AL26" i="4" s="1"/>
  <c r="AM26" i="4" s="1"/>
  <c r="R27" i="4"/>
  <c r="AL27" i="4" s="1"/>
  <c r="AM27" i="4" s="1"/>
  <c r="R28" i="4"/>
  <c r="AL28" i="4" s="1"/>
  <c r="AM28" i="4" s="1"/>
  <c r="R29" i="4"/>
  <c r="AL29" i="4" s="1"/>
  <c r="AM29" i="4" s="1"/>
  <c r="R30" i="4"/>
  <c r="R31" i="4"/>
  <c r="R32" i="4"/>
  <c r="R33" i="4"/>
  <c r="R34" i="4"/>
  <c r="R35" i="4"/>
  <c r="AL35" i="4" s="1"/>
  <c r="AM35" i="4" s="1"/>
  <c r="R36" i="4"/>
  <c r="AL36" i="4" s="1"/>
  <c r="AM36" i="4" s="1"/>
  <c r="R37" i="4"/>
  <c r="AL37" i="4" s="1"/>
  <c r="AM37" i="4" s="1"/>
  <c r="R38" i="4"/>
  <c r="AL38" i="4" s="1"/>
  <c r="AM38" i="4" s="1"/>
  <c r="R39" i="4"/>
  <c r="AL39" i="4" s="1"/>
  <c r="AM39" i="4" s="1"/>
  <c r="R40" i="4"/>
  <c r="AL40" i="4" s="1"/>
  <c r="AM40" i="4" s="1"/>
  <c r="R41" i="4"/>
  <c r="AL41" i="4" s="1"/>
  <c r="AM41" i="4" s="1"/>
  <c r="R42" i="4"/>
  <c r="AL42" i="4" s="1"/>
  <c r="AM42" i="4" s="1"/>
  <c r="R43" i="4"/>
  <c r="AL43" i="4" s="1"/>
  <c r="AM43" i="4" s="1"/>
  <c r="R44" i="4"/>
  <c r="R45" i="4"/>
  <c r="AL45" i="4" s="1"/>
  <c r="AM45" i="4" s="1"/>
  <c r="R46" i="4"/>
  <c r="AL46" i="4" s="1"/>
  <c r="AM46" i="4" s="1"/>
  <c r="R47" i="4"/>
  <c r="AL47" i="4" s="1"/>
  <c r="AM47" i="4" s="1"/>
  <c r="R48" i="4"/>
  <c r="AL48" i="4" s="1"/>
  <c r="AM48" i="4" s="1"/>
  <c r="R49" i="4"/>
  <c r="AL49" i="4" s="1"/>
  <c r="AM49" i="4" s="1"/>
  <c r="R50" i="4"/>
  <c r="R51" i="4"/>
  <c r="R52" i="4"/>
  <c r="R53" i="4"/>
  <c r="R54" i="4"/>
  <c r="R55" i="4"/>
  <c r="R56" i="4"/>
  <c r="AL56" i="4" s="1"/>
  <c r="AM56" i="4" s="1"/>
  <c r="R57" i="4"/>
  <c r="AL57" i="4" s="1"/>
  <c r="AM57" i="4" s="1"/>
  <c r="R58" i="4"/>
  <c r="AL58" i="4" s="1"/>
  <c r="AM58" i="4" s="1"/>
  <c r="R59" i="4"/>
  <c r="R60" i="4"/>
  <c r="R61" i="4"/>
  <c r="AL61" i="4" s="1"/>
  <c r="AM61" i="4" s="1"/>
  <c r="R62" i="4"/>
  <c r="AL62" i="4" s="1"/>
  <c r="AM62" i="4" s="1"/>
  <c r="R63" i="4"/>
  <c r="AL63" i="4" s="1"/>
  <c r="AM63" i="4" s="1"/>
  <c r="R64" i="4"/>
  <c r="AL64" i="4" s="1"/>
  <c r="AM64" i="4" s="1"/>
  <c r="R65" i="4"/>
  <c r="AL65" i="4" s="1"/>
  <c r="AM65" i="4" s="1"/>
  <c r="R66" i="4"/>
  <c r="AL66" i="4" s="1"/>
  <c r="AM66" i="4" s="1"/>
  <c r="R67" i="4"/>
  <c r="AL67" i="4" s="1"/>
  <c r="AM67" i="4" s="1"/>
  <c r="R68" i="4"/>
  <c r="AL68" i="4" s="1"/>
  <c r="AM68" i="4" s="1"/>
  <c r="R69" i="4"/>
  <c r="AL69" i="4" s="1"/>
  <c r="AM69" i="4" s="1"/>
  <c r="R70" i="4"/>
  <c r="R71" i="4"/>
  <c r="R72" i="4"/>
  <c r="R73" i="4"/>
  <c r="R74" i="4"/>
  <c r="AL74" i="4" s="1"/>
  <c r="AM74" i="4" s="1"/>
  <c r="R75" i="4"/>
  <c r="R76" i="4"/>
  <c r="R77" i="4"/>
  <c r="R78" i="4"/>
  <c r="R79" i="4"/>
  <c r="R80" i="4"/>
  <c r="R81" i="4"/>
  <c r="R82" i="4"/>
  <c r="R83" i="4"/>
  <c r="AL83" i="4" s="1"/>
  <c r="AM83" i="4" s="1"/>
  <c r="R84" i="4"/>
  <c r="AL84" i="4" s="1"/>
  <c r="AM84" i="4" s="1"/>
  <c r="R85" i="4"/>
  <c r="AL85" i="4" s="1"/>
  <c r="AM85" i="4" s="1"/>
  <c r="R86" i="4"/>
  <c r="AL86" i="4" s="1"/>
  <c r="AM86" i="4" s="1"/>
  <c r="R87" i="4"/>
  <c r="AL87" i="4" s="1"/>
  <c r="AM87" i="4" s="1"/>
  <c r="R88" i="4"/>
  <c r="AL88" i="4" s="1"/>
  <c r="AM88" i="4" s="1"/>
  <c r="R89" i="4"/>
  <c r="AL89" i="4" s="1"/>
  <c r="AM89" i="4" s="1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AL107" i="4" s="1"/>
  <c r="AM107" i="4" s="1"/>
  <c r="R108" i="4"/>
  <c r="R109" i="4"/>
  <c r="AL109" i="4" s="1"/>
  <c r="AM109" i="4" s="1"/>
  <c r="R110" i="4"/>
  <c r="R111" i="4"/>
  <c r="R112" i="4"/>
  <c r="R113" i="4"/>
  <c r="R114" i="4"/>
  <c r="R115" i="4"/>
  <c r="R116" i="4"/>
  <c r="R117" i="4"/>
  <c r="R118" i="4"/>
  <c r="R119" i="4"/>
  <c r="R120" i="4"/>
  <c r="AL120" i="4" s="1"/>
  <c r="AM120" i="4" s="1"/>
  <c r="R121" i="4"/>
  <c r="AL121" i="4" s="1"/>
  <c r="AM121" i="4" s="1"/>
  <c r="R122" i="4"/>
  <c r="AL122" i="4" s="1"/>
  <c r="AM122" i="4" s="1"/>
  <c r="R123" i="4"/>
  <c r="AL123" i="4" s="1"/>
  <c r="AM123" i="4" s="1"/>
  <c r="R124" i="4"/>
  <c r="AL22" i="4"/>
  <c r="AM22" i="4" s="1"/>
  <c r="W5" i="4"/>
  <c r="BA8" i="4"/>
  <c r="AJ8" i="4"/>
  <c r="R5" i="4"/>
  <c r="AL5" i="4" s="1"/>
  <c r="AL10" i="4"/>
  <c r="BA1" i="4"/>
  <c r="AN1" i="4"/>
  <c r="X3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6" i="4"/>
  <c r="AN6" i="4" s="1"/>
  <c r="W7" i="4"/>
  <c r="AN7" i="4" s="1"/>
  <c r="W9" i="4"/>
  <c r="W10" i="4"/>
  <c r="AN10" i="4" s="1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AI1" i="4"/>
  <c r="AZ1" i="4" s="1"/>
  <c r="AH1" i="4"/>
  <c r="AY1" i="4" s="1"/>
  <c r="AG1" i="4"/>
  <c r="AX1" i="4" s="1"/>
  <c r="AE1" i="4"/>
  <c r="AV1" i="4" s="1"/>
  <c r="AD1" i="4"/>
  <c r="AU1" i="4" s="1"/>
  <c r="AC1" i="4"/>
  <c r="AT1" i="4" s="1"/>
  <c r="AB1" i="4"/>
  <c r="AS1" i="4" s="1"/>
  <c r="AA1" i="4"/>
  <c r="AR1" i="4" s="1"/>
  <c r="Z1" i="4"/>
  <c r="AQ1" i="4" s="1"/>
  <c r="Y1" i="4"/>
  <c r="AP1" i="4" s="1"/>
  <c r="X1" i="4"/>
  <c r="AO1" i="4" s="1"/>
  <c r="AF1" i="4"/>
  <c r="AW1" i="4" s="1"/>
  <c r="AL110" i="4"/>
  <c r="AM110" i="4" s="1"/>
  <c r="AL111" i="4"/>
  <c r="AM111" i="4" s="1"/>
  <c r="AL112" i="4"/>
  <c r="AM112" i="4" s="1"/>
  <c r="AL113" i="4"/>
  <c r="AM113" i="4" s="1"/>
  <c r="AL114" i="4"/>
  <c r="AM114" i="4" s="1"/>
  <c r="AL115" i="4"/>
  <c r="AM115" i="4" s="1"/>
  <c r="AL117" i="4"/>
  <c r="AM117" i="4" s="1"/>
  <c r="AL118" i="4"/>
  <c r="AM118" i="4" s="1"/>
  <c r="AL119" i="4"/>
  <c r="AM119" i="4" s="1"/>
  <c r="AL59" i="4"/>
  <c r="AM59" i="4" s="1"/>
  <c r="AL70" i="4"/>
  <c r="AM70" i="4" s="1"/>
  <c r="AL71" i="4"/>
  <c r="AM71" i="4" s="1"/>
  <c r="AL72" i="4"/>
  <c r="AM72" i="4" s="1"/>
  <c r="AL73" i="4"/>
  <c r="AM73" i="4" s="1"/>
  <c r="AL75" i="4"/>
  <c r="AM75" i="4" s="1"/>
  <c r="AL77" i="4"/>
  <c r="AM77" i="4" s="1"/>
  <c r="AL78" i="4"/>
  <c r="AM78" i="4" s="1"/>
  <c r="AL79" i="4"/>
  <c r="AM79" i="4" s="1"/>
  <c r="AL80" i="4"/>
  <c r="AM80" i="4" s="1"/>
  <c r="AL81" i="4"/>
  <c r="AM81" i="4" s="1"/>
  <c r="AL82" i="4"/>
  <c r="AM82" i="4" s="1"/>
  <c r="AL90" i="4"/>
  <c r="AM90" i="4" s="1"/>
  <c r="AL91" i="4"/>
  <c r="AM91" i="4" s="1"/>
  <c r="AL93" i="4"/>
  <c r="AM93" i="4" s="1"/>
  <c r="AL94" i="4"/>
  <c r="AM94" i="4" s="1"/>
  <c r="AL95" i="4"/>
  <c r="AM95" i="4" s="1"/>
  <c r="AL96" i="4"/>
  <c r="AM96" i="4" s="1"/>
  <c r="AL97" i="4"/>
  <c r="AM97" i="4" s="1"/>
  <c r="AL98" i="4"/>
  <c r="AM98" i="4" s="1"/>
  <c r="AL99" i="4"/>
  <c r="AM99" i="4" s="1"/>
  <c r="AL100" i="4"/>
  <c r="AM100" i="4" s="1"/>
  <c r="AL101" i="4"/>
  <c r="AM101" i="4" s="1"/>
  <c r="AL102" i="4"/>
  <c r="AM102" i="4" s="1"/>
  <c r="AL103" i="4"/>
  <c r="AM103" i="4" s="1"/>
  <c r="AL104" i="4"/>
  <c r="AM104" i="4" s="1"/>
  <c r="AL105" i="4"/>
  <c r="AM105" i="4" s="1"/>
  <c r="AL106" i="4"/>
  <c r="AM106" i="4" s="1"/>
  <c r="AL44" i="4"/>
  <c r="AM44" i="4" s="1"/>
  <c r="AL50" i="4"/>
  <c r="AM50" i="4" s="1"/>
  <c r="AL51" i="4"/>
  <c r="AM51" i="4" s="1"/>
  <c r="AL53" i="4"/>
  <c r="AM53" i="4" s="1"/>
  <c r="AL54" i="4"/>
  <c r="AM54" i="4" s="1"/>
  <c r="AL55" i="4"/>
  <c r="AM55" i="4" s="1"/>
  <c r="AL30" i="4"/>
  <c r="AM30" i="4" s="1"/>
  <c r="AL31" i="4"/>
  <c r="AM31" i="4" s="1"/>
  <c r="AL32" i="4"/>
  <c r="AM32" i="4" s="1"/>
  <c r="AL33" i="4"/>
  <c r="AM33" i="4" s="1"/>
  <c r="AL34" i="4"/>
  <c r="AM34" i="4" s="1"/>
  <c r="AI3" i="4"/>
  <c r="AH3" i="4"/>
  <c r="AG3" i="4"/>
  <c r="AF3" i="4"/>
  <c r="AE3" i="4"/>
  <c r="AD3" i="4"/>
  <c r="AC3" i="4"/>
  <c r="AB3" i="4"/>
  <c r="AA3" i="4"/>
  <c r="Z3" i="4"/>
  <c r="Y3" i="4"/>
  <c r="F32" i="3"/>
  <c r="F33" i="3"/>
  <c r="F34" i="3"/>
  <c r="F35" i="3"/>
  <c r="F36" i="3"/>
  <c r="F37" i="3"/>
  <c r="F38" i="3"/>
  <c r="F39" i="3"/>
  <c r="F40" i="3"/>
  <c r="F41" i="3"/>
  <c r="F42" i="3"/>
  <c r="F31" i="3"/>
  <c r="X5" i="4" l="1"/>
  <c r="AD5" i="4"/>
  <c r="AA5" i="4"/>
  <c r="Z5" i="4"/>
  <c r="AE5" i="4"/>
  <c r="AC5" i="4"/>
  <c r="AB5" i="4"/>
  <c r="Y5" i="4"/>
  <c r="AM5" i="4"/>
  <c r="AL116" i="4"/>
  <c r="AM116" i="4" s="1"/>
  <c r="AL60" i="4"/>
  <c r="AM60" i="4" s="1"/>
  <c r="AL76" i="4"/>
  <c r="AM76" i="4" s="1"/>
  <c r="AL92" i="4"/>
  <c r="AM92" i="4" s="1"/>
  <c r="AM10" i="4"/>
  <c r="AL108" i="4"/>
  <c r="AM108" i="4" s="1"/>
  <c r="AL52" i="4"/>
  <c r="AM52" i="4" s="1"/>
  <c r="AL124" i="4"/>
  <c r="AM124" i="4" s="1"/>
  <c r="AM7" i="4"/>
  <c r="AM6" i="4"/>
  <c r="X74" i="4"/>
  <c r="AO74" i="4" s="1"/>
  <c r="X105" i="4"/>
  <c r="AO105" i="4" s="1"/>
  <c r="X106" i="4"/>
  <c r="AO106" i="4" s="1"/>
  <c r="X107" i="4"/>
  <c r="AO107" i="4" s="1"/>
  <c r="X108" i="4"/>
  <c r="AO108" i="4" s="1"/>
  <c r="X109" i="4"/>
  <c r="AO109" i="4" s="1"/>
  <c r="X110" i="4"/>
  <c r="AO110" i="4" s="1"/>
  <c r="X111" i="4"/>
  <c r="AO111" i="4" s="1"/>
  <c r="X112" i="4"/>
  <c r="AO112" i="4" s="1"/>
  <c r="X113" i="4"/>
  <c r="AO113" i="4" s="1"/>
  <c r="X114" i="4"/>
  <c r="AO114" i="4" s="1"/>
  <c r="X115" i="4"/>
  <c r="AO115" i="4" s="1"/>
  <c r="X116" i="4"/>
  <c r="AO116" i="4" s="1"/>
  <c r="X117" i="4"/>
  <c r="AO117" i="4" s="1"/>
  <c r="X118" i="4"/>
  <c r="AO118" i="4" s="1"/>
  <c r="X119" i="4"/>
  <c r="AO119" i="4" s="1"/>
  <c r="X120" i="4"/>
  <c r="AO120" i="4" s="1"/>
  <c r="X121" i="4"/>
  <c r="AO121" i="4" s="1"/>
  <c r="X122" i="4"/>
  <c r="AO122" i="4" s="1"/>
  <c r="X123" i="4"/>
  <c r="AO123" i="4" s="1"/>
  <c r="X124" i="4"/>
  <c r="AO124" i="4" s="1"/>
  <c r="X80" i="4"/>
  <c r="AO80" i="4" s="1"/>
  <c r="X81" i="4"/>
  <c r="AO81" i="4" s="1"/>
  <c r="X82" i="4"/>
  <c r="AO82" i="4" s="1"/>
  <c r="X83" i="4"/>
  <c r="AO83" i="4" s="1"/>
  <c r="X84" i="4"/>
  <c r="AO84" i="4" s="1"/>
  <c r="X85" i="4"/>
  <c r="AO85" i="4" s="1"/>
  <c r="X86" i="4"/>
  <c r="AO86" i="4" s="1"/>
  <c r="X87" i="4"/>
  <c r="AO87" i="4" s="1"/>
  <c r="X88" i="4"/>
  <c r="AO88" i="4" s="1"/>
  <c r="X89" i="4"/>
  <c r="AO89" i="4" s="1"/>
  <c r="X90" i="4"/>
  <c r="AO90" i="4" s="1"/>
  <c r="X91" i="4"/>
  <c r="AO91" i="4" s="1"/>
  <c r="X92" i="4"/>
  <c r="AO92" i="4" s="1"/>
  <c r="X93" i="4"/>
  <c r="AO93" i="4" s="1"/>
  <c r="X94" i="4"/>
  <c r="AO94" i="4" s="1"/>
  <c r="X95" i="4"/>
  <c r="AO95" i="4" s="1"/>
  <c r="X96" i="4"/>
  <c r="AO96" i="4" s="1"/>
  <c r="X97" i="4"/>
  <c r="AO97" i="4" s="1"/>
  <c r="X98" i="4"/>
  <c r="AO98" i="4" s="1"/>
  <c r="X99" i="4"/>
  <c r="AO99" i="4" s="1"/>
  <c r="X100" i="4"/>
  <c r="AO100" i="4" s="1"/>
  <c r="X101" i="4"/>
  <c r="AO101" i="4" s="1"/>
  <c r="X102" i="4"/>
  <c r="AO102" i="4" s="1"/>
  <c r="X103" i="4"/>
  <c r="AO103" i="4" s="1"/>
  <c r="X104" i="4"/>
  <c r="AO104" i="4" s="1"/>
  <c r="X57" i="4"/>
  <c r="AO57" i="4" s="1"/>
  <c r="X58" i="4"/>
  <c r="AO58" i="4" s="1"/>
  <c r="X59" i="4"/>
  <c r="AO59" i="4" s="1"/>
  <c r="X60" i="4"/>
  <c r="AO60" i="4" s="1"/>
  <c r="X61" i="4"/>
  <c r="AO61" i="4" s="1"/>
  <c r="X62" i="4"/>
  <c r="AO62" i="4" s="1"/>
  <c r="X63" i="4"/>
  <c r="AO63" i="4" s="1"/>
  <c r="X64" i="4"/>
  <c r="AO64" i="4" s="1"/>
  <c r="X65" i="4"/>
  <c r="AO65" i="4" s="1"/>
  <c r="X66" i="4"/>
  <c r="AO66" i="4" s="1"/>
  <c r="X67" i="4"/>
  <c r="AO67" i="4" s="1"/>
  <c r="X68" i="4"/>
  <c r="AO68" i="4" s="1"/>
  <c r="X69" i="4"/>
  <c r="AO69" i="4" s="1"/>
  <c r="X70" i="4"/>
  <c r="AO70" i="4" s="1"/>
  <c r="X71" i="4"/>
  <c r="AO71" i="4" s="1"/>
  <c r="X72" i="4"/>
  <c r="AO72" i="4" s="1"/>
  <c r="X73" i="4"/>
  <c r="AO73" i="4" s="1"/>
  <c r="X75" i="4"/>
  <c r="AO75" i="4" s="1"/>
  <c r="X76" i="4"/>
  <c r="AO76" i="4" s="1"/>
  <c r="X77" i="4"/>
  <c r="AO77" i="4" s="1"/>
  <c r="X78" i="4"/>
  <c r="AO78" i="4" s="1"/>
  <c r="X79" i="4"/>
  <c r="AO79" i="4" s="1"/>
  <c r="X33" i="4"/>
  <c r="AO33" i="4" s="1"/>
  <c r="X34" i="4"/>
  <c r="AO34" i="4" s="1"/>
  <c r="X35" i="4"/>
  <c r="AO35" i="4" s="1"/>
  <c r="X36" i="4"/>
  <c r="AO36" i="4" s="1"/>
  <c r="X37" i="4"/>
  <c r="AO37" i="4" s="1"/>
  <c r="X38" i="4"/>
  <c r="AO38" i="4" s="1"/>
  <c r="X39" i="4"/>
  <c r="AO39" i="4" s="1"/>
  <c r="X40" i="4"/>
  <c r="AO40" i="4" s="1"/>
  <c r="X41" i="4"/>
  <c r="AO41" i="4" s="1"/>
  <c r="X42" i="4"/>
  <c r="AO42" i="4" s="1"/>
  <c r="X43" i="4"/>
  <c r="AO43" i="4" s="1"/>
  <c r="X44" i="4"/>
  <c r="AO44" i="4" s="1"/>
  <c r="X45" i="4"/>
  <c r="AO45" i="4" s="1"/>
  <c r="X46" i="4"/>
  <c r="AO46" i="4" s="1"/>
  <c r="X47" i="4"/>
  <c r="AO47" i="4" s="1"/>
  <c r="X48" i="4"/>
  <c r="AO48" i="4" s="1"/>
  <c r="X49" i="4"/>
  <c r="AO49" i="4" s="1"/>
  <c r="X50" i="4"/>
  <c r="AO50" i="4" s="1"/>
  <c r="X51" i="4"/>
  <c r="AO51" i="4" s="1"/>
  <c r="X52" i="4"/>
  <c r="AO52" i="4" s="1"/>
  <c r="X53" i="4"/>
  <c r="AO53" i="4" s="1"/>
  <c r="X54" i="4"/>
  <c r="AO54" i="4" s="1"/>
  <c r="X55" i="4"/>
  <c r="AO55" i="4" s="1"/>
  <c r="X56" i="4"/>
  <c r="AO56" i="4" s="1"/>
  <c r="X11" i="4"/>
  <c r="X12" i="4"/>
  <c r="X13" i="4"/>
  <c r="X15" i="4"/>
  <c r="X16" i="4"/>
  <c r="X17" i="4"/>
  <c r="AO17" i="4" s="1"/>
  <c r="X18" i="4"/>
  <c r="AO18" i="4" s="1"/>
  <c r="X19" i="4"/>
  <c r="AO19" i="4" s="1"/>
  <c r="X20" i="4"/>
  <c r="AO20" i="4" s="1"/>
  <c r="X21" i="4"/>
  <c r="AO21" i="4" s="1"/>
  <c r="X22" i="4"/>
  <c r="AO22" i="4" s="1"/>
  <c r="X23" i="4"/>
  <c r="AO23" i="4" s="1"/>
  <c r="X24" i="4"/>
  <c r="AO24" i="4" s="1"/>
  <c r="X25" i="4"/>
  <c r="AO25" i="4" s="1"/>
  <c r="X26" i="4"/>
  <c r="AO26" i="4" s="1"/>
  <c r="X27" i="4"/>
  <c r="AO27" i="4" s="1"/>
  <c r="X28" i="4"/>
  <c r="AO28" i="4" s="1"/>
  <c r="X29" i="4"/>
  <c r="AO29" i="4" s="1"/>
  <c r="X30" i="4"/>
  <c r="AO30" i="4" s="1"/>
  <c r="X31" i="4"/>
  <c r="AO31" i="4" s="1"/>
  <c r="X32" i="4"/>
  <c r="AO32" i="4" s="1"/>
  <c r="Y74" i="4"/>
  <c r="AP74" i="4" s="1"/>
  <c r="Y105" i="4"/>
  <c r="AP105" i="4" s="1"/>
  <c r="Y106" i="4"/>
  <c r="AP106" i="4" s="1"/>
  <c r="Y107" i="4"/>
  <c r="AP107" i="4" s="1"/>
  <c r="Y108" i="4"/>
  <c r="AP108" i="4" s="1"/>
  <c r="Y109" i="4"/>
  <c r="AP109" i="4" s="1"/>
  <c r="Y110" i="4"/>
  <c r="AP110" i="4" s="1"/>
  <c r="Y111" i="4"/>
  <c r="AP111" i="4" s="1"/>
  <c r="Y112" i="4"/>
  <c r="AP112" i="4" s="1"/>
  <c r="Y113" i="4"/>
  <c r="AP113" i="4" s="1"/>
  <c r="Y114" i="4"/>
  <c r="AP114" i="4" s="1"/>
  <c r="Y115" i="4"/>
  <c r="AP115" i="4" s="1"/>
  <c r="Y116" i="4"/>
  <c r="AP116" i="4" s="1"/>
  <c r="Y117" i="4"/>
  <c r="AP117" i="4" s="1"/>
  <c r="Y118" i="4"/>
  <c r="AP118" i="4" s="1"/>
  <c r="Y119" i="4"/>
  <c r="AP119" i="4" s="1"/>
  <c r="Y120" i="4"/>
  <c r="AP120" i="4" s="1"/>
  <c r="Y121" i="4"/>
  <c r="AP121" i="4" s="1"/>
  <c r="Y122" i="4"/>
  <c r="AP122" i="4" s="1"/>
  <c r="Y123" i="4"/>
  <c r="AP123" i="4" s="1"/>
  <c r="Y124" i="4"/>
  <c r="AP124" i="4" s="1"/>
  <c r="Y80" i="4"/>
  <c r="AP80" i="4" s="1"/>
  <c r="Y81" i="4"/>
  <c r="AP81" i="4" s="1"/>
  <c r="Y82" i="4"/>
  <c r="AP82" i="4" s="1"/>
  <c r="Y83" i="4"/>
  <c r="AP83" i="4" s="1"/>
  <c r="Y84" i="4"/>
  <c r="AP84" i="4" s="1"/>
  <c r="Y85" i="4"/>
  <c r="AP85" i="4" s="1"/>
  <c r="Y86" i="4"/>
  <c r="AP86" i="4" s="1"/>
  <c r="Y87" i="4"/>
  <c r="AP87" i="4" s="1"/>
  <c r="Y88" i="4"/>
  <c r="AP88" i="4" s="1"/>
  <c r="Y89" i="4"/>
  <c r="AP89" i="4" s="1"/>
  <c r="Y90" i="4"/>
  <c r="AP90" i="4" s="1"/>
  <c r="Y91" i="4"/>
  <c r="AP91" i="4" s="1"/>
  <c r="Y92" i="4"/>
  <c r="AP92" i="4" s="1"/>
  <c r="Y93" i="4"/>
  <c r="AP93" i="4" s="1"/>
  <c r="Y94" i="4"/>
  <c r="AP94" i="4" s="1"/>
  <c r="Y95" i="4"/>
  <c r="AP95" i="4" s="1"/>
  <c r="Y96" i="4"/>
  <c r="AP96" i="4" s="1"/>
  <c r="Y97" i="4"/>
  <c r="AP97" i="4" s="1"/>
  <c r="Y98" i="4"/>
  <c r="AP98" i="4" s="1"/>
  <c r="Y99" i="4"/>
  <c r="AP99" i="4" s="1"/>
  <c r="Y100" i="4"/>
  <c r="AP100" i="4" s="1"/>
  <c r="Y101" i="4"/>
  <c r="AP101" i="4" s="1"/>
  <c r="Y102" i="4"/>
  <c r="AP102" i="4" s="1"/>
  <c r="Y103" i="4"/>
  <c r="AP103" i="4" s="1"/>
  <c r="Y104" i="4"/>
  <c r="AP104" i="4" s="1"/>
  <c r="Y57" i="4"/>
  <c r="AP57" i="4" s="1"/>
  <c r="Y58" i="4"/>
  <c r="AP58" i="4" s="1"/>
  <c r="Y59" i="4"/>
  <c r="AP59" i="4" s="1"/>
  <c r="Y60" i="4"/>
  <c r="AP60" i="4" s="1"/>
  <c r="Y61" i="4"/>
  <c r="AP61" i="4" s="1"/>
  <c r="Y62" i="4"/>
  <c r="AP62" i="4" s="1"/>
  <c r="Y63" i="4"/>
  <c r="AP63" i="4" s="1"/>
  <c r="Y64" i="4"/>
  <c r="AP64" i="4" s="1"/>
  <c r="Y65" i="4"/>
  <c r="AP65" i="4" s="1"/>
  <c r="Y66" i="4"/>
  <c r="AP66" i="4" s="1"/>
  <c r="Y67" i="4"/>
  <c r="AP67" i="4" s="1"/>
  <c r="Y68" i="4"/>
  <c r="AP68" i="4" s="1"/>
  <c r="Y69" i="4"/>
  <c r="AP69" i="4" s="1"/>
  <c r="Y70" i="4"/>
  <c r="AP70" i="4" s="1"/>
  <c r="Y71" i="4"/>
  <c r="AP71" i="4" s="1"/>
  <c r="Y72" i="4"/>
  <c r="AP72" i="4" s="1"/>
  <c r="Y73" i="4"/>
  <c r="AP73" i="4" s="1"/>
  <c r="Y75" i="4"/>
  <c r="AP75" i="4" s="1"/>
  <c r="Y76" i="4"/>
  <c r="AP76" i="4" s="1"/>
  <c r="Y77" i="4"/>
  <c r="AP77" i="4" s="1"/>
  <c r="Y78" i="4"/>
  <c r="AP78" i="4" s="1"/>
  <c r="Y79" i="4"/>
  <c r="AP79" i="4" s="1"/>
  <c r="Y33" i="4"/>
  <c r="AP33" i="4" s="1"/>
  <c r="Y34" i="4"/>
  <c r="AP34" i="4" s="1"/>
  <c r="Y35" i="4"/>
  <c r="AP35" i="4" s="1"/>
  <c r="Y36" i="4"/>
  <c r="AP36" i="4" s="1"/>
  <c r="Y37" i="4"/>
  <c r="AP37" i="4" s="1"/>
  <c r="Y38" i="4"/>
  <c r="AP38" i="4" s="1"/>
  <c r="Y39" i="4"/>
  <c r="AP39" i="4" s="1"/>
  <c r="Y40" i="4"/>
  <c r="AP40" i="4" s="1"/>
  <c r="Y41" i="4"/>
  <c r="AP41" i="4" s="1"/>
  <c r="Y42" i="4"/>
  <c r="AP42" i="4" s="1"/>
  <c r="Y43" i="4"/>
  <c r="AP43" i="4" s="1"/>
  <c r="Y44" i="4"/>
  <c r="AP44" i="4" s="1"/>
  <c r="Y45" i="4"/>
  <c r="AP45" i="4" s="1"/>
  <c r="Y46" i="4"/>
  <c r="AP46" i="4" s="1"/>
  <c r="Y47" i="4"/>
  <c r="AP47" i="4" s="1"/>
  <c r="Y48" i="4"/>
  <c r="AP48" i="4" s="1"/>
  <c r="Y49" i="4"/>
  <c r="AP49" i="4" s="1"/>
  <c r="Y50" i="4"/>
  <c r="AP50" i="4" s="1"/>
  <c r="Y51" i="4"/>
  <c r="AP51" i="4" s="1"/>
  <c r="Y52" i="4"/>
  <c r="AP52" i="4" s="1"/>
  <c r="Y53" i="4"/>
  <c r="AP53" i="4" s="1"/>
  <c r="Y54" i="4"/>
  <c r="AP54" i="4" s="1"/>
  <c r="Y55" i="4"/>
  <c r="AP55" i="4" s="1"/>
  <c r="Y56" i="4"/>
  <c r="AP56" i="4" s="1"/>
  <c r="Y11" i="4"/>
  <c r="Y12" i="4"/>
  <c r="Y13" i="4"/>
  <c r="Y14" i="4"/>
  <c r="Y15" i="4"/>
  <c r="Y16" i="4"/>
  <c r="Y17" i="4"/>
  <c r="AP17" i="4" s="1"/>
  <c r="Y18" i="4"/>
  <c r="AP18" i="4" s="1"/>
  <c r="Y19" i="4"/>
  <c r="AP19" i="4" s="1"/>
  <c r="Y20" i="4"/>
  <c r="AP20" i="4" s="1"/>
  <c r="Y21" i="4"/>
  <c r="AP21" i="4" s="1"/>
  <c r="Y22" i="4"/>
  <c r="AP22" i="4" s="1"/>
  <c r="Y23" i="4"/>
  <c r="AP23" i="4" s="1"/>
  <c r="Y24" i="4"/>
  <c r="AP24" i="4" s="1"/>
  <c r="Y25" i="4"/>
  <c r="AP25" i="4" s="1"/>
  <c r="Y26" i="4"/>
  <c r="AP26" i="4" s="1"/>
  <c r="Y27" i="4"/>
  <c r="AP27" i="4" s="1"/>
  <c r="Y28" i="4"/>
  <c r="AP28" i="4" s="1"/>
  <c r="Y29" i="4"/>
  <c r="AP29" i="4" s="1"/>
  <c r="Y30" i="4"/>
  <c r="AP30" i="4" s="1"/>
  <c r="Y31" i="4"/>
  <c r="AP31" i="4" s="1"/>
  <c r="Y32" i="4"/>
  <c r="AP32" i="4" s="1"/>
  <c r="Z74" i="4"/>
  <c r="AQ74" i="4" s="1"/>
  <c r="Z105" i="4"/>
  <c r="AQ105" i="4" s="1"/>
  <c r="Z106" i="4"/>
  <c r="AQ106" i="4" s="1"/>
  <c r="Z107" i="4"/>
  <c r="AQ107" i="4" s="1"/>
  <c r="Z108" i="4"/>
  <c r="AQ108" i="4" s="1"/>
  <c r="Z109" i="4"/>
  <c r="AQ109" i="4" s="1"/>
  <c r="Z110" i="4"/>
  <c r="AQ110" i="4" s="1"/>
  <c r="Z111" i="4"/>
  <c r="AQ111" i="4" s="1"/>
  <c r="Z112" i="4"/>
  <c r="AQ112" i="4" s="1"/>
  <c r="Z113" i="4"/>
  <c r="AQ113" i="4" s="1"/>
  <c r="Z114" i="4"/>
  <c r="AQ114" i="4" s="1"/>
  <c r="Z115" i="4"/>
  <c r="AQ115" i="4" s="1"/>
  <c r="Z116" i="4"/>
  <c r="AQ116" i="4" s="1"/>
  <c r="Z117" i="4"/>
  <c r="AQ117" i="4" s="1"/>
  <c r="Z118" i="4"/>
  <c r="AQ118" i="4" s="1"/>
  <c r="Z119" i="4"/>
  <c r="AQ119" i="4" s="1"/>
  <c r="Z120" i="4"/>
  <c r="AQ120" i="4" s="1"/>
  <c r="Z121" i="4"/>
  <c r="AQ121" i="4" s="1"/>
  <c r="Z122" i="4"/>
  <c r="AQ122" i="4" s="1"/>
  <c r="Z123" i="4"/>
  <c r="AQ123" i="4" s="1"/>
  <c r="Z124" i="4"/>
  <c r="AQ124" i="4" s="1"/>
  <c r="Z80" i="4"/>
  <c r="AQ80" i="4" s="1"/>
  <c r="Z81" i="4"/>
  <c r="AQ81" i="4" s="1"/>
  <c r="Z82" i="4"/>
  <c r="AQ82" i="4" s="1"/>
  <c r="Z83" i="4"/>
  <c r="AQ83" i="4" s="1"/>
  <c r="Z84" i="4"/>
  <c r="AQ84" i="4" s="1"/>
  <c r="Z85" i="4"/>
  <c r="AQ85" i="4" s="1"/>
  <c r="Z86" i="4"/>
  <c r="AQ86" i="4" s="1"/>
  <c r="Z87" i="4"/>
  <c r="AQ87" i="4" s="1"/>
  <c r="Z88" i="4"/>
  <c r="AQ88" i="4" s="1"/>
  <c r="Z89" i="4"/>
  <c r="AQ89" i="4" s="1"/>
  <c r="Z90" i="4"/>
  <c r="AQ90" i="4" s="1"/>
  <c r="Z91" i="4"/>
  <c r="AQ91" i="4" s="1"/>
  <c r="Z92" i="4"/>
  <c r="AQ92" i="4" s="1"/>
  <c r="Z93" i="4"/>
  <c r="AQ93" i="4" s="1"/>
  <c r="Z94" i="4"/>
  <c r="AQ94" i="4" s="1"/>
  <c r="Z95" i="4"/>
  <c r="AQ95" i="4" s="1"/>
  <c r="Z96" i="4"/>
  <c r="AQ96" i="4" s="1"/>
  <c r="Z97" i="4"/>
  <c r="AQ97" i="4" s="1"/>
  <c r="Z98" i="4"/>
  <c r="AQ98" i="4" s="1"/>
  <c r="Z99" i="4"/>
  <c r="AQ99" i="4" s="1"/>
  <c r="Z100" i="4"/>
  <c r="AQ100" i="4" s="1"/>
  <c r="Z101" i="4"/>
  <c r="AQ101" i="4" s="1"/>
  <c r="Z102" i="4"/>
  <c r="AQ102" i="4" s="1"/>
  <c r="Z103" i="4"/>
  <c r="AQ103" i="4" s="1"/>
  <c r="Z104" i="4"/>
  <c r="AQ104" i="4" s="1"/>
  <c r="Z57" i="4"/>
  <c r="AQ57" i="4" s="1"/>
  <c r="Z58" i="4"/>
  <c r="AQ58" i="4" s="1"/>
  <c r="Z59" i="4"/>
  <c r="AQ59" i="4" s="1"/>
  <c r="Z60" i="4"/>
  <c r="AQ60" i="4" s="1"/>
  <c r="Z61" i="4"/>
  <c r="AQ61" i="4" s="1"/>
  <c r="Z62" i="4"/>
  <c r="AQ62" i="4" s="1"/>
  <c r="Z63" i="4"/>
  <c r="AQ63" i="4" s="1"/>
  <c r="Z64" i="4"/>
  <c r="AQ64" i="4" s="1"/>
  <c r="Z65" i="4"/>
  <c r="AQ65" i="4" s="1"/>
  <c r="Z66" i="4"/>
  <c r="AQ66" i="4" s="1"/>
  <c r="Z67" i="4"/>
  <c r="AQ67" i="4" s="1"/>
  <c r="Z68" i="4"/>
  <c r="AQ68" i="4" s="1"/>
  <c r="Z69" i="4"/>
  <c r="AQ69" i="4" s="1"/>
  <c r="Z70" i="4"/>
  <c r="AQ70" i="4" s="1"/>
  <c r="Z71" i="4"/>
  <c r="AQ71" i="4" s="1"/>
  <c r="Z72" i="4"/>
  <c r="AQ72" i="4" s="1"/>
  <c r="Z73" i="4"/>
  <c r="AQ73" i="4" s="1"/>
  <c r="Z75" i="4"/>
  <c r="AQ75" i="4" s="1"/>
  <c r="Z76" i="4"/>
  <c r="AQ76" i="4" s="1"/>
  <c r="Z77" i="4"/>
  <c r="AQ77" i="4" s="1"/>
  <c r="Z78" i="4"/>
  <c r="AQ78" i="4" s="1"/>
  <c r="Z79" i="4"/>
  <c r="AQ79" i="4" s="1"/>
  <c r="Z33" i="4"/>
  <c r="AQ33" i="4" s="1"/>
  <c r="Z34" i="4"/>
  <c r="AQ34" i="4" s="1"/>
  <c r="Z35" i="4"/>
  <c r="AQ35" i="4" s="1"/>
  <c r="Z36" i="4"/>
  <c r="AQ36" i="4" s="1"/>
  <c r="Z37" i="4"/>
  <c r="AQ37" i="4" s="1"/>
  <c r="Z38" i="4"/>
  <c r="AQ38" i="4" s="1"/>
  <c r="Z39" i="4"/>
  <c r="AQ39" i="4" s="1"/>
  <c r="Z40" i="4"/>
  <c r="AQ40" i="4" s="1"/>
  <c r="Z41" i="4"/>
  <c r="AQ41" i="4" s="1"/>
  <c r="Z42" i="4"/>
  <c r="AQ42" i="4" s="1"/>
  <c r="Z43" i="4"/>
  <c r="AQ43" i="4" s="1"/>
  <c r="Z44" i="4"/>
  <c r="AQ44" i="4" s="1"/>
  <c r="Z45" i="4"/>
  <c r="AQ45" i="4" s="1"/>
  <c r="Z46" i="4"/>
  <c r="AQ46" i="4" s="1"/>
  <c r="Z47" i="4"/>
  <c r="AQ47" i="4" s="1"/>
  <c r="Z48" i="4"/>
  <c r="AQ48" i="4" s="1"/>
  <c r="Z49" i="4"/>
  <c r="AQ49" i="4" s="1"/>
  <c r="Z50" i="4"/>
  <c r="AQ50" i="4" s="1"/>
  <c r="Z51" i="4"/>
  <c r="AQ51" i="4" s="1"/>
  <c r="Z52" i="4"/>
  <c r="AQ52" i="4" s="1"/>
  <c r="Z53" i="4"/>
  <c r="AQ53" i="4" s="1"/>
  <c r="Z54" i="4"/>
  <c r="AQ54" i="4" s="1"/>
  <c r="Z55" i="4"/>
  <c r="AQ55" i="4" s="1"/>
  <c r="Z56" i="4"/>
  <c r="AQ56" i="4" s="1"/>
  <c r="Z11" i="4"/>
  <c r="Z12" i="4"/>
  <c r="Z13" i="4"/>
  <c r="Z15" i="4"/>
  <c r="Z16" i="4"/>
  <c r="Z17" i="4"/>
  <c r="AQ17" i="4" s="1"/>
  <c r="Z18" i="4"/>
  <c r="AQ18" i="4" s="1"/>
  <c r="Z19" i="4"/>
  <c r="AQ19" i="4" s="1"/>
  <c r="Z20" i="4"/>
  <c r="AQ20" i="4" s="1"/>
  <c r="Z21" i="4"/>
  <c r="AQ21" i="4" s="1"/>
  <c r="Z22" i="4"/>
  <c r="AQ22" i="4" s="1"/>
  <c r="Z23" i="4"/>
  <c r="AQ23" i="4" s="1"/>
  <c r="Z24" i="4"/>
  <c r="AQ24" i="4" s="1"/>
  <c r="Z25" i="4"/>
  <c r="AQ25" i="4" s="1"/>
  <c r="Z26" i="4"/>
  <c r="AQ26" i="4" s="1"/>
  <c r="Z27" i="4"/>
  <c r="AQ27" i="4" s="1"/>
  <c r="Z28" i="4"/>
  <c r="AQ28" i="4" s="1"/>
  <c r="Z29" i="4"/>
  <c r="AQ29" i="4" s="1"/>
  <c r="Z30" i="4"/>
  <c r="AQ30" i="4" s="1"/>
  <c r="Z31" i="4"/>
  <c r="AQ31" i="4" s="1"/>
  <c r="Z32" i="4"/>
  <c r="AQ32" i="4" s="1"/>
  <c r="AA74" i="4"/>
  <c r="AR74" i="4" s="1"/>
  <c r="AA105" i="4"/>
  <c r="AR105" i="4" s="1"/>
  <c r="AA106" i="4"/>
  <c r="AR106" i="4" s="1"/>
  <c r="AA107" i="4"/>
  <c r="AR107" i="4" s="1"/>
  <c r="AA108" i="4"/>
  <c r="AR108" i="4" s="1"/>
  <c r="AA109" i="4"/>
  <c r="AR109" i="4" s="1"/>
  <c r="AA110" i="4"/>
  <c r="AR110" i="4" s="1"/>
  <c r="AA111" i="4"/>
  <c r="AR111" i="4" s="1"/>
  <c r="AA112" i="4"/>
  <c r="AR112" i="4" s="1"/>
  <c r="AA113" i="4"/>
  <c r="AR113" i="4" s="1"/>
  <c r="AA114" i="4"/>
  <c r="AR114" i="4" s="1"/>
  <c r="AA115" i="4"/>
  <c r="AR115" i="4" s="1"/>
  <c r="AA116" i="4"/>
  <c r="AR116" i="4" s="1"/>
  <c r="AA117" i="4"/>
  <c r="AR117" i="4" s="1"/>
  <c r="AA118" i="4"/>
  <c r="AR118" i="4" s="1"/>
  <c r="AA119" i="4"/>
  <c r="AR119" i="4" s="1"/>
  <c r="AA120" i="4"/>
  <c r="AR120" i="4" s="1"/>
  <c r="AA121" i="4"/>
  <c r="AR121" i="4" s="1"/>
  <c r="AA122" i="4"/>
  <c r="AR122" i="4" s="1"/>
  <c r="AA123" i="4"/>
  <c r="AR123" i="4" s="1"/>
  <c r="AA124" i="4"/>
  <c r="AR124" i="4" s="1"/>
  <c r="AA80" i="4"/>
  <c r="AR80" i="4" s="1"/>
  <c r="AA81" i="4"/>
  <c r="AR81" i="4" s="1"/>
  <c r="AA82" i="4"/>
  <c r="AR82" i="4" s="1"/>
  <c r="AA83" i="4"/>
  <c r="AR83" i="4" s="1"/>
  <c r="AA84" i="4"/>
  <c r="AR84" i="4" s="1"/>
  <c r="AA85" i="4"/>
  <c r="AR85" i="4" s="1"/>
  <c r="AA86" i="4"/>
  <c r="AR86" i="4" s="1"/>
  <c r="AA87" i="4"/>
  <c r="AR87" i="4" s="1"/>
  <c r="AA88" i="4"/>
  <c r="AR88" i="4" s="1"/>
  <c r="AA89" i="4"/>
  <c r="AR89" i="4" s="1"/>
  <c r="AA90" i="4"/>
  <c r="AR90" i="4" s="1"/>
  <c r="AA91" i="4"/>
  <c r="AR91" i="4" s="1"/>
  <c r="AA92" i="4"/>
  <c r="AR92" i="4" s="1"/>
  <c r="AA93" i="4"/>
  <c r="AR93" i="4" s="1"/>
  <c r="AA94" i="4"/>
  <c r="AR94" i="4" s="1"/>
  <c r="AA95" i="4"/>
  <c r="AR95" i="4" s="1"/>
  <c r="AA96" i="4"/>
  <c r="AR96" i="4" s="1"/>
  <c r="AA97" i="4"/>
  <c r="AR97" i="4" s="1"/>
  <c r="AA98" i="4"/>
  <c r="AR98" i="4" s="1"/>
  <c r="AA99" i="4"/>
  <c r="AR99" i="4" s="1"/>
  <c r="AA100" i="4"/>
  <c r="AR100" i="4" s="1"/>
  <c r="AA101" i="4"/>
  <c r="AR101" i="4" s="1"/>
  <c r="AA102" i="4"/>
  <c r="AR102" i="4" s="1"/>
  <c r="AA103" i="4"/>
  <c r="AR103" i="4" s="1"/>
  <c r="AA104" i="4"/>
  <c r="AR104" i="4" s="1"/>
  <c r="AA57" i="4"/>
  <c r="AR57" i="4" s="1"/>
  <c r="AA58" i="4"/>
  <c r="AR58" i="4" s="1"/>
  <c r="AA59" i="4"/>
  <c r="AR59" i="4" s="1"/>
  <c r="AA60" i="4"/>
  <c r="AR60" i="4" s="1"/>
  <c r="AA61" i="4"/>
  <c r="AR61" i="4" s="1"/>
  <c r="AA62" i="4"/>
  <c r="AR62" i="4" s="1"/>
  <c r="AA63" i="4"/>
  <c r="AR63" i="4" s="1"/>
  <c r="AA64" i="4"/>
  <c r="AR64" i="4" s="1"/>
  <c r="AA65" i="4"/>
  <c r="AR65" i="4" s="1"/>
  <c r="AA66" i="4"/>
  <c r="AR66" i="4" s="1"/>
  <c r="AA67" i="4"/>
  <c r="AR67" i="4" s="1"/>
  <c r="AA68" i="4"/>
  <c r="AR68" i="4" s="1"/>
  <c r="AA69" i="4"/>
  <c r="AR69" i="4" s="1"/>
  <c r="AA70" i="4"/>
  <c r="AR70" i="4" s="1"/>
  <c r="AA71" i="4"/>
  <c r="AR71" i="4" s="1"/>
  <c r="AA72" i="4"/>
  <c r="AR72" i="4" s="1"/>
  <c r="AA73" i="4"/>
  <c r="AR73" i="4" s="1"/>
  <c r="AA75" i="4"/>
  <c r="AR75" i="4" s="1"/>
  <c r="AA76" i="4"/>
  <c r="AR76" i="4" s="1"/>
  <c r="AA77" i="4"/>
  <c r="AR77" i="4" s="1"/>
  <c r="AA78" i="4"/>
  <c r="AR78" i="4" s="1"/>
  <c r="AA79" i="4"/>
  <c r="AR79" i="4" s="1"/>
  <c r="AA33" i="4"/>
  <c r="AR33" i="4" s="1"/>
  <c r="AA34" i="4"/>
  <c r="AR34" i="4" s="1"/>
  <c r="AA35" i="4"/>
  <c r="AR35" i="4" s="1"/>
  <c r="AA36" i="4"/>
  <c r="AR36" i="4" s="1"/>
  <c r="AA37" i="4"/>
  <c r="AR37" i="4" s="1"/>
  <c r="AA38" i="4"/>
  <c r="AR38" i="4" s="1"/>
  <c r="AA39" i="4"/>
  <c r="AR39" i="4" s="1"/>
  <c r="AA40" i="4"/>
  <c r="AR40" i="4" s="1"/>
  <c r="AA41" i="4"/>
  <c r="AR41" i="4" s="1"/>
  <c r="AA42" i="4"/>
  <c r="AR42" i="4" s="1"/>
  <c r="AA43" i="4"/>
  <c r="AR43" i="4" s="1"/>
  <c r="AA44" i="4"/>
  <c r="AR44" i="4" s="1"/>
  <c r="AA45" i="4"/>
  <c r="AR45" i="4" s="1"/>
  <c r="AA46" i="4"/>
  <c r="AR46" i="4" s="1"/>
  <c r="AA47" i="4"/>
  <c r="AR47" i="4" s="1"/>
  <c r="AA48" i="4"/>
  <c r="AR48" i="4" s="1"/>
  <c r="AA49" i="4"/>
  <c r="AR49" i="4" s="1"/>
  <c r="AA50" i="4"/>
  <c r="AR50" i="4" s="1"/>
  <c r="AA51" i="4"/>
  <c r="AR51" i="4" s="1"/>
  <c r="AA52" i="4"/>
  <c r="AR52" i="4" s="1"/>
  <c r="AA53" i="4"/>
  <c r="AR53" i="4" s="1"/>
  <c r="AA54" i="4"/>
  <c r="AR54" i="4" s="1"/>
  <c r="AA55" i="4"/>
  <c r="AR55" i="4" s="1"/>
  <c r="AA56" i="4"/>
  <c r="AR56" i="4" s="1"/>
  <c r="AA11" i="4"/>
  <c r="AA12" i="4"/>
  <c r="AA13" i="4"/>
  <c r="AA15" i="4"/>
  <c r="AA16" i="4"/>
  <c r="AA17" i="4"/>
  <c r="AR17" i="4" s="1"/>
  <c r="AA18" i="4"/>
  <c r="AR18" i="4" s="1"/>
  <c r="AA19" i="4"/>
  <c r="AR19" i="4" s="1"/>
  <c r="AA20" i="4"/>
  <c r="AR20" i="4" s="1"/>
  <c r="AA21" i="4"/>
  <c r="AR21" i="4" s="1"/>
  <c r="AA22" i="4"/>
  <c r="AR22" i="4" s="1"/>
  <c r="AA23" i="4"/>
  <c r="AR23" i="4" s="1"/>
  <c r="AA24" i="4"/>
  <c r="AR24" i="4" s="1"/>
  <c r="AA25" i="4"/>
  <c r="AR25" i="4" s="1"/>
  <c r="AA26" i="4"/>
  <c r="AR26" i="4" s="1"/>
  <c r="AA27" i="4"/>
  <c r="AR27" i="4" s="1"/>
  <c r="AA28" i="4"/>
  <c r="AR28" i="4" s="1"/>
  <c r="AA29" i="4"/>
  <c r="AR29" i="4" s="1"/>
  <c r="AA30" i="4"/>
  <c r="AR30" i="4" s="1"/>
  <c r="AA31" i="4"/>
  <c r="AR31" i="4" s="1"/>
  <c r="AA32" i="4"/>
  <c r="AR32" i="4" s="1"/>
  <c r="AB74" i="4"/>
  <c r="AS74" i="4" s="1"/>
  <c r="AB105" i="4"/>
  <c r="AS105" i="4" s="1"/>
  <c r="AB106" i="4"/>
  <c r="AS106" i="4" s="1"/>
  <c r="AB107" i="4"/>
  <c r="AS107" i="4" s="1"/>
  <c r="AB108" i="4"/>
  <c r="AS108" i="4" s="1"/>
  <c r="AB109" i="4"/>
  <c r="AS109" i="4" s="1"/>
  <c r="AB110" i="4"/>
  <c r="AS110" i="4" s="1"/>
  <c r="AB111" i="4"/>
  <c r="AS111" i="4" s="1"/>
  <c r="AB112" i="4"/>
  <c r="AS112" i="4" s="1"/>
  <c r="AB113" i="4"/>
  <c r="AS113" i="4" s="1"/>
  <c r="AB114" i="4"/>
  <c r="AS114" i="4" s="1"/>
  <c r="AB115" i="4"/>
  <c r="AS115" i="4" s="1"/>
  <c r="AB116" i="4"/>
  <c r="AS116" i="4" s="1"/>
  <c r="AB117" i="4"/>
  <c r="AS117" i="4" s="1"/>
  <c r="AB118" i="4"/>
  <c r="AS118" i="4" s="1"/>
  <c r="AB119" i="4"/>
  <c r="AS119" i="4" s="1"/>
  <c r="AB120" i="4"/>
  <c r="AS120" i="4" s="1"/>
  <c r="AB121" i="4"/>
  <c r="AS121" i="4" s="1"/>
  <c r="AB122" i="4"/>
  <c r="AS122" i="4" s="1"/>
  <c r="AB123" i="4"/>
  <c r="AS123" i="4" s="1"/>
  <c r="AB124" i="4"/>
  <c r="AS124" i="4" s="1"/>
  <c r="AB80" i="4"/>
  <c r="AS80" i="4" s="1"/>
  <c r="AB81" i="4"/>
  <c r="AS81" i="4" s="1"/>
  <c r="AB82" i="4"/>
  <c r="AS82" i="4" s="1"/>
  <c r="AB83" i="4"/>
  <c r="AS83" i="4" s="1"/>
  <c r="AB84" i="4"/>
  <c r="AS84" i="4" s="1"/>
  <c r="AB85" i="4"/>
  <c r="AS85" i="4" s="1"/>
  <c r="AB86" i="4"/>
  <c r="AS86" i="4" s="1"/>
  <c r="AB87" i="4"/>
  <c r="AS87" i="4" s="1"/>
  <c r="AB88" i="4"/>
  <c r="AS88" i="4" s="1"/>
  <c r="AB89" i="4"/>
  <c r="AS89" i="4" s="1"/>
  <c r="AB90" i="4"/>
  <c r="AS90" i="4" s="1"/>
  <c r="AB91" i="4"/>
  <c r="AS91" i="4" s="1"/>
  <c r="AB92" i="4"/>
  <c r="AS92" i="4" s="1"/>
  <c r="AB93" i="4"/>
  <c r="AS93" i="4" s="1"/>
  <c r="AB94" i="4"/>
  <c r="AS94" i="4" s="1"/>
  <c r="AB95" i="4"/>
  <c r="AS95" i="4" s="1"/>
  <c r="AB96" i="4"/>
  <c r="AS96" i="4" s="1"/>
  <c r="AB97" i="4"/>
  <c r="AS97" i="4" s="1"/>
  <c r="AB98" i="4"/>
  <c r="AS98" i="4" s="1"/>
  <c r="AB99" i="4"/>
  <c r="AS99" i="4" s="1"/>
  <c r="AB100" i="4"/>
  <c r="AS100" i="4" s="1"/>
  <c r="AB101" i="4"/>
  <c r="AS101" i="4" s="1"/>
  <c r="AB102" i="4"/>
  <c r="AS102" i="4" s="1"/>
  <c r="AB103" i="4"/>
  <c r="AS103" i="4" s="1"/>
  <c r="AB104" i="4"/>
  <c r="AS104" i="4" s="1"/>
  <c r="AB57" i="4"/>
  <c r="AS57" i="4" s="1"/>
  <c r="AB58" i="4"/>
  <c r="AS58" i="4" s="1"/>
  <c r="AB59" i="4"/>
  <c r="AS59" i="4" s="1"/>
  <c r="AB60" i="4"/>
  <c r="AS60" i="4" s="1"/>
  <c r="AB61" i="4"/>
  <c r="AS61" i="4" s="1"/>
  <c r="AB62" i="4"/>
  <c r="AS62" i="4" s="1"/>
  <c r="AB63" i="4"/>
  <c r="AS63" i="4" s="1"/>
  <c r="AB64" i="4"/>
  <c r="AS64" i="4" s="1"/>
  <c r="AB65" i="4"/>
  <c r="AS65" i="4" s="1"/>
  <c r="AB66" i="4"/>
  <c r="AS66" i="4" s="1"/>
  <c r="AB67" i="4"/>
  <c r="AS67" i="4" s="1"/>
  <c r="AB68" i="4"/>
  <c r="AS68" i="4" s="1"/>
  <c r="AB69" i="4"/>
  <c r="AS69" i="4" s="1"/>
  <c r="AB70" i="4"/>
  <c r="AS70" i="4" s="1"/>
  <c r="AB71" i="4"/>
  <c r="AS71" i="4" s="1"/>
  <c r="AB72" i="4"/>
  <c r="AS72" i="4" s="1"/>
  <c r="AB73" i="4"/>
  <c r="AS73" i="4" s="1"/>
  <c r="AB75" i="4"/>
  <c r="AS75" i="4" s="1"/>
  <c r="AB76" i="4"/>
  <c r="AS76" i="4" s="1"/>
  <c r="AB77" i="4"/>
  <c r="AS77" i="4" s="1"/>
  <c r="AB78" i="4"/>
  <c r="AS78" i="4" s="1"/>
  <c r="AB79" i="4"/>
  <c r="AS79" i="4" s="1"/>
  <c r="AB33" i="4"/>
  <c r="AS33" i="4" s="1"/>
  <c r="AB34" i="4"/>
  <c r="AS34" i="4" s="1"/>
  <c r="AB35" i="4"/>
  <c r="AS35" i="4" s="1"/>
  <c r="AB36" i="4"/>
  <c r="AS36" i="4" s="1"/>
  <c r="AB37" i="4"/>
  <c r="AS37" i="4" s="1"/>
  <c r="AB38" i="4"/>
  <c r="AS38" i="4" s="1"/>
  <c r="AB39" i="4"/>
  <c r="AS39" i="4" s="1"/>
  <c r="AB40" i="4"/>
  <c r="AS40" i="4" s="1"/>
  <c r="AB41" i="4"/>
  <c r="AS41" i="4" s="1"/>
  <c r="AB42" i="4"/>
  <c r="AS42" i="4" s="1"/>
  <c r="AB43" i="4"/>
  <c r="AS43" i="4" s="1"/>
  <c r="AB44" i="4"/>
  <c r="AS44" i="4" s="1"/>
  <c r="AB45" i="4"/>
  <c r="AS45" i="4" s="1"/>
  <c r="AB46" i="4"/>
  <c r="AS46" i="4" s="1"/>
  <c r="AB47" i="4"/>
  <c r="AS47" i="4" s="1"/>
  <c r="AB48" i="4"/>
  <c r="AS48" i="4" s="1"/>
  <c r="AB49" i="4"/>
  <c r="AS49" i="4" s="1"/>
  <c r="AB50" i="4"/>
  <c r="AS50" i="4" s="1"/>
  <c r="AB51" i="4"/>
  <c r="AS51" i="4" s="1"/>
  <c r="AB52" i="4"/>
  <c r="AS52" i="4" s="1"/>
  <c r="AB53" i="4"/>
  <c r="AS53" i="4" s="1"/>
  <c r="AB54" i="4"/>
  <c r="AS54" i="4" s="1"/>
  <c r="AB55" i="4"/>
  <c r="AS55" i="4" s="1"/>
  <c r="AB56" i="4"/>
  <c r="AS56" i="4" s="1"/>
  <c r="AB11" i="4"/>
  <c r="AB12" i="4"/>
  <c r="AB13" i="4"/>
  <c r="AB15" i="4"/>
  <c r="AB16" i="4"/>
  <c r="AB17" i="4"/>
  <c r="AS17" i="4" s="1"/>
  <c r="AB18" i="4"/>
  <c r="AS18" i="4" s="1"/>
  <c r="AB19" i="4"/>
  <c r="AS19" i="4" s="1"/>
  <c r="AB20" i="4"/>
  <c r="AS20" i="4" s="1"/>
  <c r="AB21" i="4"/>
  <c r="AS21" i="4" s="1"/>
  <c r="AB22" i="4"/>
  <c r="AS22" i="4" s="1"/>
  <c r="AB23" i="4"/>
  <c r="AS23" i="4" s="1"/>
  <c r="AB24" i="4"/>
  <c r="AS24" i="4" s="1"/>
  <c r="AB25" i="4"/>
  <c r="AS25" i="4" s="1"/>
  <c r="AB26" i="4"/>
  <c r="AS26" i="4" s="1"/>
  <c r="AB27" i="4"/>
  <c r="AS27" i="4" s="1"/>
  <c r="AB28" i="4"/>
  <c r="AS28" i="4" s="1"/>
  <c r="AB29" i="4"/>
  <c r="AS29" i="4" s="1"/>
  <c r="AB30" i="4"/>
  <c r="AS30" i="4" s="1"/>
  <c r="AB31" i="4"/>
  <c r="AS31" i="4" s="1"/>
  <c r="AB32" i="4"/>
  <c r="AS32" i="4" s="1"/>
  <c r="AC74" i="4"/>
  <c r="AT74" i="4" s="1"/>
  <c r="AC105" i="4"/>
  <c r="AT105" i="4" s="1"/>
  <c r="AC106" i="4"/>
  <c r="AT106" i="4" s="1"/>
  <c r="AC107" i="4"/>
  <c r="AT107" i="4" s="1"/>
  <c r="AC108" i="4"/>
  <c r="AT108" i="4" s="1"/>
  <c r="AC109" i="4"/>
  <c r="AT109" i="4" s="1"/>
  <c r="AC110" i="4"/>
  <c r="AT110" i="4" s="1"/>
  <c r="AC111" i="4"/>
  <c r="AT111" i="4" s="1"/>
  <c r="AC112" i="4"/>
  <c r="AT112" i="4" s="1"/>
  <c r="AC113" i="4"/>
  <c r="AT113" i="4" s="1"/>
  <c r="AC114" i="4"/>
  <c r="AT114" i="4" s="1"/>
  <c r="AC115" i="4"/>
  <c r="AT115" i="4" s="1"/>
  <c r="AC116" i="4"/>
  <c r="AT116" i="4" s="1"/>
  <c r="AC117" i="4"/>
  <c r="AT117" i="4" s="1"/>
  <c r="AC118" i="4"/>
  <c r="AT118" i="4" s="1"/>
  <c r="AC119" i="4"/>
  <c r="AT119" i="4" s="1"/>
  <c r="AC120" i="4"/>
  <c r="AT120" i="4" s="1"/>
  <c r="AC121" i="4"/>
  <c r="AT121" i="4" s="1"/>
  <c r="AC122" i="4"/>
  <c r="AT122" i="4" s="1"/>
  <c r="AC123" i="4"/>
  <c r="AT123" i="4" s="1"/>
  <c r="AC124" i="4"/>
  <c r="AT124" i="4" s="1"/>
  <c r="AC80" i="4"/>
  <c r="AT80" i="4" s="1"/>
  <c r="AC81" i="4"/>
  <c r="AT81" i="4" s="1"/>
  <c r="AC82" i="4"/>
  <c r="AT82" i="4" s="1"/>
  <c r="AC83" i="4"/>
  <c r="AT83" i="4" s="1"/>
  <c r="AC84" i="4"/>
  <c r="AT84" i="4" s="1"/>
  <c r="AC85" i="4"/>
  <c r="AT85" i="4" s="1"/>
  <c r="AC86" i="4"/>
  <c r="AT86" i="4" s="1"/>
  <c r="AC87" i="4"/>
  <c r="AT87" i="4" s="1"/>
  <c r="AC88" i="4"/>
  <c r="AT88" i="4" s="1"/>
  <c r="AC89" i="4"/>
  <c r="AT89" i="4" s="1"/>
  <c r="AC90" i="4"/>
  <c r="AT90" i="4" s="1"/>
  <c r="AC91" i="4"/>
  <c r="AT91" i="4" s="1"/>
  <c r="AC92" i="4"/>
  <c r="AT92" i="4" s="1"/>
  <c r="AC93" i="4"/>
  <c r="AT93" i="4" s="1"/>
  <c r="AC94" i="4"/>
  <c r="AT94" i="4" s="1"/>
  <c r="AC95" i="4"/>
  <c r="AT95" i="4" s="1"/>
  <c r="AC96" i="4"/>
  <c r="AT96" i="4" s="1"/>
  <c r="AC97" i="4"/>
  <c r="AT97" i="4" s="1"/>
  <c r="AC98" i="4"/>
  <c r="AT98" i="4" s="1"/>
  <c r="AC99" i="4"/>
  <c r="AT99" i="4" s="1"/>
  <c r="AC100" i="4"/>
  <c r="AT100" i="4" s="1"/>
  <c r="AC101" i="4"/>
  <c r="AT101" i="4" s="1"/>
  <c r="AC102" i="4"/>
  <c r="AT102" i="4" s="1"/>
  <c r="AC103" i="4"/>
  <c r="AT103" i="4" s="1"/>
  <c r="AC104" i="4"/>
  <c r="AT104" i="4" s="1"/>
  <c r="AC57" i="4"/>
  <c r="AT57" i="4" s="1"/>
  <c r="AC58" i="4"/>
  <c r="AT58" i="4" s="1"/>
  <c r="AC59" i="4"/>
  <c r="AT59" i="4" s="1"/>
  <c r="AC60" i="4"/>
  <c r="AT60" i="4" s="1"/>
  <c r="AC61" i="4"/>
  <c r="AT61" i="4" s="1"/>
  <c r="AC62" i="4"/>
  <c r="AT62" i="4" s="1"/>
  <c r="AC63" i="4"/>
  <c r="AT63" i="4" s="1"/>
  <c r="AC64" i="4"/>
  <c r="AT64" i="4" s="1"/>
  <c r="AC65" i="4"/>
  <c r="AT65" i="4" s="1"/>
  <c r="AC66" i="4"/>
  <c r="AT66" i="4" s="1"/>
  <c r="AC67" i="4"/>
  <c r="AT67" i="4" s="1"/>
  <c r="AC68" i="4"/>
  <c r="AT68" i="4" s="1"/>
  <c r="AC69" i="4"/>
  <c r="AT69" i="4" s="1"/>
  <c r="AC70" i="4"/>
  <c r="AT70" i="4" s="1"/>
  <c r="AC71" i="4"/>
  <c r="AT71" i="4" s="1"/>
  <c r="AC72" i="4"/>
  <c r="AT72" i="4" s="1"/>
  <c r="AC73" i="4"/>
  <c r="AT73" i="4" s="1"/>
  <c r="AC75" i="4"/>
  <c r="AT75" i="4" s="1"/>
  <c r="AC76" i="4"/>
  <c r="AT76" i="4" s="1"/>
  <c r="AC77" i="4"/>
  <c r="AT77" i="4" s="1"/>
  <c r="AC78" i="4"/>
  <c r="AT78" i="4" s="1"/>
  <c r="AC79" i="4"/>
  <c r="AT79" i="4" s="1"/>
  <c r="AC33" i="4"/>
  <c r="AT33" i="4" s="1"/>
  <c r="AC34" i="4"/>
  <c r="AT34" i="4" s="1"/>
  <c r="AC35" i="4"/>
  <c r="AT35" i="4" s="1"/>
  <c r="AC36" i="4"/>
  <c r="AT36" i="4" s="1"/>
  <c r="AC37" i="4"/>
  <c r="AT37" i="4" s="1"/>
  <c r="AC38" i="4"/>
  <c r="AT38" i="4" s="1"/>
  <c r="AC39" i="4"/>
  <c r="AT39" i="4" s="1"/>
  <c r="AC40" i="4"/>
  <c r="AT40" i="4" s="1"/>
  <c r="AC41" i="4"/>
  <c r="AT41" i="4" s="1"/>
  <c r="AC42" i="4"/>
  <c r="AT42" i="4" s="1"/>
  <c r="AC43" i="4"/>
  <c r="AT43" i="4" s="1"/>
  <c r="AC44" i="4"/>
  <c r="AT44" i="4" s="1"/>
  <c r="AC45" i="4"/>
  <c r="AT45" i="4" s="1"/>
  <c r="AC46" i="4"/>
  <c r="AT46" i="4" s="1"/>
  <c r="AC47" i="4"/>
  <c r="AT47" i="4" s="1"/>
  <c r="AC48" i="4"/>
  <c r="AT48" i="4" s="1"/>
  <c r="AC49" i="4"/>
  <c r="AT49" i="4" s="1"/>
  <c r="AC50" i="4"/>
  <c r="AT50" i="4" s="1"/>
  <c r="AC51" i="4"/>
  <c r="AT51" i="4" s="1"/>
  <c r="AC52" i="4"/>
  <c r="AT52" i="4" s="1"/>
  <c r="AC53" i="4"/>
  <c r="AT53" i="4" s="1"/>
  <c r="AC54" i="4"/>
  <c r="AT54" i="4" s="1"/>
  <c r="AC55" i="4"/>
  <c r="AT55" i="4" s="1"/>
  <c r="AC56" i="4"/>
  <c r="AT56" i="4" s="1"/>
  <c r="AC11" i="4"/>
  <c r="AC12" i="4"/>
  <c r="AC13" i="4"/>
  <c r="AC15" i="4"/>
  <c r="AC16" i="4"/>
  <c r="AC17" i="4"/>
  <c r="AT17" i="4" s="1"/>
  <c r="AC18" i="4"/>
  <c r="AT18" i="4" s="1"/>
  <c r="AC19" i="4"/>
  <c r="AT19" i="4" s="1"/>
  <c r="AC20" i="4"/>
  <c r="AT20" i="4" s="1"/>
  <c r="AC21" i="4"/>
  <c r="AT21" i="4" s="1"/>
  <c r="AC22" i="4"/>
  <c r="AT22" i="4" s="1"/>
  <c r="AC23" i="4"/>
  <c r="AT23" i="4" s="1"/>
  <c r="AC24" i="4"/>
  <c r="AT24" i="4" s="1"/>
  <c r="AC25" i="4"/>
  <c r="AT25" i="4" s="1"/>
  <c r="AC26" i="4"/>
  <c r="AT26" i="4" s="1"/>
  <c r="AC27" i="4"/>
  <c r="AT27" i="4" s="1"/>
  <c r="AC28" i="4"/>
  <c r="AT28" i="4" s="1"/>
  <c r="AC29" i="4"/>
  <c r="AT29" i="4" s="1"/>
  <c r="AC30" i="4"/>
  <c r="AT30" i="4" s="1"/>
  <c r="AC31" i="4"/>
  <c r="AT31" i="4" s="1"/>
  <c r="AC32" i="4"/>
  <c r="AT32" i="4" s="1"/>
  <c r="AD74" i="4"/>
  <c r="AU74" i="4" s="1"/>
  <c r="AD105" i="4"/>
  <c r="AU105" i="4" s="1"/>
  <c r="AD106" i="4"/>
  <c r="AU106" i="4" s="1"/>
  <c r="AD107" i="4"/>
  <c r="AU107" i="4" s="1"/>
  <c r="AD108" i="4"/>
  <c r="AU108" i="4" s="1"/>
  <c r="AD109" i="4"/>
  <c r="AU109" i="4" s="1"/>
  <c r="AD110" i="4"/>
  <c r="AU110" i="4" s="1"/>
  <c r="AD111" i="4"/>
  <c r="AU111" i="4" s="1"/>
  <c r="AD112" i="4"/>
  <c r="AU112" i="4" s="1"/>
  <c r="AD113" i="4"/>
  <c r="AU113" i="4" s="1"/>
  <c r="AD114" i="4"/>
  <c r="AU114" i="4" s="1"/>
  <c r="AD115" i="4"/>
  <c r="AU115" i="4" s="1"/>
  <c r="AD116" i="4"/>
  <c r="AU116" i="4" s="1"/>
  <c r="AD117" i="4"/>
  <c r="AU117" i="4" s="1"/>
  <c r="AD118" i="4"/>
  <c r="AU118" i="4" s="1"/>
  <c r="AD119" i="4"/>
  <c r="AU119" i="4" s="1"/>
  <c r="AD120" i="4"/>
  <c r="AU120" i="4" s="1"/>
  <c r="AD121" i="4"/>
  <c r="AU121" i="4" s="1"/>
  <c r="AD122" i="4"/>
  <c r="AU122" i="4" s="1"/>
  <c r="AD123" i="4"/>
  <c r="AU123" i="4" s="1"/>
  <c r="AD124" i="4"/>
  <c r="AU124" i="4" s="1"/>
  <c r="AD80" i="4"/>
  <c r="AU80" i="4" s="1"/>
  <c r="AD81" i="4"/>
  <c r="AU81" i="4" s="1"/>
  <c r="AD82" i="4"/>
  <c r="AU82" i="4" s="1"/>
  <c r="AD83" i="4"/>
  <c r="AU83" i="4" s="1"/>
  <c r="AD84" i="4"/>
  <c r="AU84" i="4" s="1"/>
  <c r="AD85" i="4"/>
  <c r="AU85" i="4" s="1"/>
  <c r="AD86" i="4"/>
  <c r="AU86" i="4" s="1"/>
  <c r="AD87" i="4"/>
  <c r="AU87" i="4" s="1"/>
  <c r="AD88" i="4"/>
  <c r="AU88" i="4" s="1"/>
  <c r="AD89" i="4"/>
  <c r="AU89" i="4" s="1"/>
  <c r="AD90" i="4"/>
  <c r="AU90" i="4" s="1"/>
  <c r="AD91" i="4"/>
  <c r="AU91" i="4" s="1"/>
  <c r="AD92" i="4"/>
  <c r="AU92" i="4" s="1"/>
  <c r="AD93" i="4"/>
  <c r="AU93" i="4" s="1"/>
  <c r="AD94" i="4"/>
  <c r="AU94" i="4" s="1"/>
  <c r="AD95" i="4"/>
  <c r="AU95" i="4" s="1"/>
  <c r="AD96" i="4"/>
  <c r="AU96" i="4" s="1"/>
  <c r="AD97" i="4"/>
  <c r="AU97" i="4" s="1"/>
  <c r="AD98" i="4"/>
  <c r="AU98" i="4" s="1"/>
  <c r="AD99" i="4"/>
  <c r="AU99" i="4" s="1"/>
  <c r="AD100" i="4"/>
  <c r="AU100" i="4" s="1"/>
  <c r="AD101" i="4"/>
  <c r="AU101" i="4" s="1"/>
  <c r="AD102" i="4"/>
  <c r="AU102" i="4" s="1"/>
  <c r="AD103" i="4"/>
  <c r="AU103" i="4" s="1"/>
  <c r="AD104" i="4"/>
  <c r="AU104" i="4" s="1"/>
  <c r="AD57" i="4"/>
  <c r="AU57" i="4" s="1"/>
  <c r="AD58" i="4"/>
  <c r="AU58" i="4" s="1"/>
  <c r="AD59" i="4"/>
  <c r="AU59" i="4" s="1"/>
  <c r="AD60" i="4"/>
  <c r="AU60" i="4" s="1"/>
  <c r="AD61" i="4"/>
  <c r="AU61" i="4" s="1"/>
  <c r="AD62" i="4"/>
  <c r="AU62" i="4" s="1"/>
  <c r="AD63" i="4"/>
  <c r="AU63" i="4" s="1"/>
  <c r="AD64" i="4"/>
  <c r="AU64" i="4" s="1"/>
  <c r="AD65" i="4"/>
  <c r="AU65" i="4" s="1"/>
  <c r="AD66" i="4"/>
  <c r="AU66" i="4" s="1"/>
  <c r="AD67" i="4"/>
  <c r="AU67" i="4" s="1"/>
  <c r="AD68" i="4"/>
  <c r="AU68" i="4" s="1"/>
  <c r="AD69" i="4"/>
  <c r="AU69" i="4" s="1"/>
  <c r="AD70" i="4"/>
  <c r="AU70" i="4" s="1"/>
  <c r="AD71" i="4"/>
  <c r="AU71" i="4" s="1"/>
  <c r="AD72" i="4"/>
  <c r="AU72" i="4" s="1"/>
  <c r="AD73" i="4"/>
  <c r="AU73" i="4" s="1"/>
  <c r="AD75" i="4"/>
  <c r="AU75" i="4" s="1"/>
  <c r="AD76" i="4"/>
  <c r="AU76" i="4" s="1"/>
  <c r="AD77" i="4"/>
  <c r="AU77" i="4" s="1"/>
  <c r="AD78" i="4"/>
  <c r="AU78" i="4" s="1"/>
  <c r="AD79" i="4"/>
  <c r="AU79" i="4" s="1"/>
  <c r="AD33" i="4"/>
  <c r="AU33" i="4" s="1"/>
  <c r="AD34" i="4"/>
  <c r="AU34" i="4" s="1"/>
  <c r="AD35" i="4"/>
  <c r="AU35" i="4" s="1"/>
  <c r="AD36" i="4"/>
  <c r="AU36" i="4" s="1"/>
  <c r="AD37" i="4"/>
  <c r="AU37" i="4" s="1"/>
  <c r="AD38" i="4"/>
  <c r="AU38" i="4" s="1"/>
  <c r="AD39" i="4"/>
  <c r="AU39" i="4" s="1"/>
  <c r="AD40" i="4"/>
  <c r="AU40" i="4" s="1"/>
  <c r="AD41" i="4"/>
  <c r="AU41" i="4" s="1"/>
  <c r="AD42" i="4"/>
  <c r="AU42" i="4" s="1"/>
  <c r="AD43" i="4"/>
  <c r="AU43" i="4" s="1"/>
  <c r="AD44" i="4"/>
  <c r="AU44" i="4" s="1"/>
  <c r="AD45" i="4"/>
  <c r="AU45" i="4" s="1"/>
  <c r="AD46" i="4"/>
  <c r="AU46" i="4" s="1"/>
  <c r="AD47" i="4"/>
  <c r="AU47" i="4" s="1"/>
  <c r="AD48" i="4"/>
  <c r="AU48" i="4" s="1"/>
  <c r="AD49" i="4"/>
  <c r="AU49" i="4" s="1"/>
  <c r="AD50" i="4"/>
  <c r="AU50" i="4" s="1"/>
  <c r="AD51" i="4"/>
  <c r="AU51" i="4" s="1"/>
  <c r="AD52" i="4"/>
  <c r="AU52" i="4" s="1"/>
  <c r="AD53" i="4"/>
  <c r="AU53" i="4" s="1"/>
  <c r="AD54" i="4"/>
  <c r="AU54" i="4" s="1"/>
  <c r="AD55" i="4"/>
  <c r="AU55" i="4" s="1"/>
  <c r="AD56" i="4"/>
  <c r="AU56" i="4" s="1"/>
  <c r="AD11" i="4"/>
  <c r="AD12" i="4"/>
  <c r="AD13" i="4"/>
  <c r="AD15" i="4"/>
  <c r="AD16" i="4"/>
  <c r="AD17" i="4"/>
  <c r="AU17" i="4" s="1"/>
  <c r="AD18" i="4"/>
  <c r="AU18" i="4" s="1"/>
  <c r="AD19" i="4"/>
  <c r="AU19" i="4" s="1"/>
  <c r="AD20" i="4"/>
  <c r="AU20" i="4" s="1"/>
  <c r="AD21" i="4"/>
  <c r="AU21" i="4" s="1"/>
  <c r="AD22" i="4"/>
  <c r="AU22" i="4" s="1"/>
  <c r="AD23" i="4"/>
  <c r="AU23" i="4" s="1"/>
  <c r="AD24" i="4"/>
  <c r="AU24" i="4" s="1"/>
  <c r="AD25" i="4"/>
  <c r="AU25" i="4" s="1"/>
  <c r="AD26" i="4"/>
  <c r="AU26" i="4" s="1"/>
  <c r="AD27" i="4"/>
  <c r="AU27" i="4" s="1"/>
  <c r="AD28" i="4"/>
  <c r="AU28" i="4" s="1"/>
  <c r="AD29" i="4"/>
  <c r="AU29" i="4" s="1"/>
  <c r="AD30" i="4"/>
  <c r="AU30" i="4" s="1"/>
  <c r="AD31" i="4"/>
  <c r="AU31" i="4" s="1"/>
  <c r="AD32" i="4"/>
  <c r="AU32" i="4" s="1"/>
  <c r="AE74" i="4"/>
  <c r="AV74" i="4" s="1"/>
  <c r="AE105" i="4"/>
  <c r="AV105" i="4" s="1"/>
  <c r="AE106" i="4"/>
  <c r="AV106" i="4" s="1"/>
  <c r="AE107" i="4"/>
  <c r="AV107" i="4" s="1"/>
  <c r="AE108" i="4"/>
  <c r="AV108" i="4" s="1"/>
  <c r="AE109" i="4"/>
  <c r="AV109" i="4" s="1"/>
  <c r="AE110" i="4"/>
  <c r="AV110" i="4" s="1"/>
  <c r="AE111" i="4"/>
  <c r="AV111" i="4" s="1"/>
  <c r="AE112" i="4"/>
  <c r="AV112" i="4" s="1"/>
  <c r="AE113" i="4"/>
  <c r="AV113" i="4" s="1"/>
  <c r="AE114" i="4"/>
  <c r="AV114" i="4" s="1"/>
  <c r="AE115" i="4"/>
  <c r="AV115" i="4" s="1"/>
  <c r="AE116" i="4"/>
  <c r="AV116" i="4" s="1"/>
  <c r="AE117" i="4"/>
  <c r="AV117" i="4" s="1"/>
  <c r="AE118" i="4"/>
  <c r="AV118" i="4" s="1"/>
  <c r="AE119" i="4"/>
  <c r="AV119" i="4" s="1"/>
  <c r="AE120" i="4"/>
  <c r="AV120" i="4" s="1"/>
  <c r="AE121" i="4"/>
  <c r="AV121" i="4" s="1"/>
  <c r="AE122" i="4"/>
  <c r="AV122" i="4" s="1"/>
  <c r="AE123" i="4"/>
  <c r="AV123" i="4" s="1"/>
  <c r="AE124" i="4"/>
  <c r="AV124" i="4" s="1"/>
  <c r="AE80" i="4"/>
  <c r="AV80" i="4" s="1"/>
  <c r="AE81" i="4"/>
  <c r="AV81" i="4" s="1"/>
  <c r="AE82" i="4"/>
  <c r="AV82" i="4" s="1"/>
  <c r="AE83" i="4"/>
  <c r="AV83" i="4" s="1"/>
  <c r="AE84" i="4"/>
  <c r="AV84" i="4" s="1"/>
  <c r="AE85" i="4"/>
  <c r="AV85" i="4" s="1"/>
  <c r="AE86" i="4"/>
  <c r="AV86" i="4" s="1"/>
  <c r="AE87" i="4"/>
  <c r="AV87" i="4" s="1"/>
  <c r="AE88" i="4"/>
  <c r="AV88" i="4" s="1"/>
  <c r="AE89" i="4"/>
  <c r="AV89" i="4" s="1"/>
  <c r="AE90" i="4"/>
  <c r="AV90" i="4" s="1"/>
  <c r="AE91" i="4"/>
  <c r="AV91" i="4" s="1"/>
  <c r="AE92" i="4"/>
  <c r="AV92" i="4" s="1"/>
  <c r="AE93" i="4"/>
  <c r="AV93" i="4" s="1"/>
  <c r="AE94" i="4"/>
  <c r="AV94" i="4" s="1"/>
  <c r="AE95" i="4"/>
  <c r="AV95" i="4" s="1"/>
  <c r="AE96" i="4"/>
  <c r="AV96" i="4" s="1"/>
  <c r="AE97" i="4"/>
  <c r="AV97" i="4" s="1"/>
  <c r="AE98" i="4"/>
  <c r="AV98" i="4" s="1"/>
  <c r="AE99" i="4"/>
  <c r="AV99" i="4" s="1"/>
  <c r="AE100" i="4"/>
  <c r="AV100" i="4" s="1"/>
  <c r="AE101" i="4"/>
  <c r="AV101" i="4" s="1"/>
  <c r="AE102" i="4"/>
  <c r="AV102" i="4" s="1"/>
  <c r="AE103" i="4"/>
  <c r="AV103" i="4" s="1"/>
  <c r="AE104" i="4"/>
  <c r="AV104" i="4" s="1"/>
  <c r="AE57" i="4"/>
  <c r="AV57" i="4" s="1"/>
  <c r="AE58" i="4"/>
  <c r="AV58" i="4" s="1"/>
  <c r="AE59" i="4"/>
  <c r="AV59" i="4" s="1"/>
  <c r="AE60" i="4"/>
  <c r="AV60" i="4" s="1"/>
  <c r="AE61" i="4"/>
  <c r="AV61" i="4" s="1"/>
  <c r="AE62" i="4"/>
  <c r="AV62" i="4" s="1"/>
  <c r="AE63" i="4"/>
  <c r="AV63" i="4" s="1"/>
  <c r="AE64" i="4"/>
  <c r="AV64" i="4" s="1"/>
  <c r="AE65" i="4"/>
  <c r="AV65" i="4" s="1"/>
  <c r="AE66" i="4"/>
  <c r="AV66" i="4" s="1"/>
  <c r="AE67" i="4"/>
  <c r="AV67" i="4" s="1"/>
  <c r="AE68" i="4"/>
  <c r="AV68" i="4" s="1"/>
  <c r="AE69" i="4"/>
  <c r="AV69" i="4" s="1"/>
  <c r="AE70" i="4"/>
  <c r="AV70" i="4" s="1"/>
  <c r="AE71" i="4"/>
  <c r="AV71" i="4" s="1"/>
  <c r="AE72" i="4"/>
  <c r="AV72" i="4" s="1"/>
  <c r="AE73" i="4"/>
  <c r="AV73" i="4" s="1"/>
  <c r="AE75" i="4"/>
  <c r="AV75" i="4" s="1"/>
  <c r="AE76" i="4"/>
  <c r="AV76" i="4" s="1"/>
  <c r="AE77" i="4"/>
  <c r="AV77" i="4" s="1"/>
  <c r="AE78" i="4"/>
  <c r="AV78" i="4" s="1"/>
  <c r="AE79" i="4"/>
  <c r="AV79" i="4" s="1"/>
  <c r="AE33" i="4"/>
  <c r="AV33" i="4" s="1"/>
  <c r="AE34" i="4"/>
  <c r="AV34" i="4" s="1"/>
  <c r="AE35" i="4"/>
  <c r="AV35" i="4" s="1"/>
  <c r="AE36" i="4"/>
  <c r="AV36" i="4" s="1"/>
  <c r="AE37" i="4"/>
  <c r="AV37" i="4" s="1"/>
  <c r="AE38" i="4"/>
  <c r="AV38" i="4" s="1"/>
  <c r="AE39" i="4"/>
  <c r="AV39" i="4" s="1"/>
  <c r="AE40" i="4"/>
  <c r="AV40" i="4" s="1"/>
  <c r="AE41" i="4"/>
  <c r="AV41" i="4" s="1"/>
  <c r="AE42" i="4"/>
  <c r="AV42" i="4" s="1"/>
  <c r="AE43" i="4"/>
  <c r="AV43" i="4" s="1"/>
  <c r="AE44" i="4"/>
  <c r="AV44" i="4" s="1"/>
  <c r="AE45" i="4"/>
  <c r="AV45" i="4" s="1"/>
  <c r="AE46" i="4"/>
  <c r="AV46" i="4" s="1"/>
  <c r="AE47" i="4"/>
  <c r="AV47" i="4" s="1"/>
  <c r="AE48" i="4"/>
  <c r="AV48" i="4" s="1"/>
  <c r="AE49" i="4"/>
  <c r="AV49" i="4" s="1"/>
  <c r="AE50" i="4"/>
  <c r="AV50" i="4" s="1"/>
  <c r="AE51" i="4"/>
  <c r="AV51" i="4" s="1"/>
  <c r="AE52" i="4"/>
  <c r="AV52" i="4" s="1"/>
  <c r="AE53" i="4"/>
  <c r="AV53" i="4" s="1"/>
  <c r="AE54" i="4"/>
  <c r="AV54" i="4" s="1"/>
  <c r="AE55" i="4"/>
  <c r="AV55" i="4" s="1"/>
  <c r="AE56" i="4"/>
  <c r="AV56" i="4" s="1"/>
  <c r="AE11" i="4"/>
  <c r="AE12" i="4"/>
  <c r="AE13" i="4"/>
  <c r="AE15" i="4"/>
  <c r="AE16" i="4"/>
  <c r="AE17" i="4"/>
  <c r="AV17" i="4" s="1"/>
  <c r="AE18" i="4"/>
  <c r="AV18" i="4" s="1"/>
  <c r="AE19" i="4"/>
  <c r="AV19" i="4" s="1"/>
  <c r="AE20" i="4"/>
  <c r="AV20" i="4" s="1"/>
  <c r="AE21" i="4"/>
  <c r="AV21" i="4" s="1"/>
  <c r="AE22" i="4"/>
  <c r="AV22" i="4" s="1"/>
  <c r="AE23" i="4"/>
  <c r="AV23" i="4" s="1"/>
  <c r="AE24" i="4"/>
  <c r="AV24" i="4" s="1"/>
  <c r="AE25" i="4"/>
  <c r="AV25" i="4" s="1"/>
  <c r="AE26" i="4"/>
  <c r="AV26" i="4" s="1"/>
  <c r="AE27" i="4"/>
  <c r="AV27" i="4" s="1"/>
  <c r="AE28" i="4"/>
  <c r="AV28" i="4" s="1"/>
  <c r="AE29" i="4"/>
  <c r="AV29" i="4" s="1"/>
  <c r="AE30" i="4"/>
  <c r="AV30" i="4" s="1"/>
  <c r="AE31" i="4"/>
  <c r="AV31" i="4" s="1"/>
  <c r="AE32" i="4"/>
  <c r="AV32" i="4" s="1"/>
  <c r="AF74" i="4"/>
  <c r="AW74" i="4" s="1"/>
  <c r="AF5" i="4"/>
  <c r="AW5" i="4" s="1"/>
  <c r="AF105" i="4"/>
  <c r="AW105" i="4" s="1"/>
  <c r="AF106" i="4"/>
  <c r="AW106" i="4" s="1"/>
  <c r="AF107" i="4"/>
  <c r="AW107" i="4" s="1"/>
  <c r="AF108" i="4"/>
  <c r="AW108" i="4" s="1"/>
  <c r="AF109" i="4"/>
  <c r="AW109" i="4" s="1"/>
  <c r="AF110" i="4"/>
  <c r="AW110" i="4" s="1"/>
  <c r="AF111" i="4"/>
  <c r="AW111" i="4" s="1"/>
  <c r="AF112" i="4"/>
  <c r="AW112" i="4" s="1"/>
  <c r="AF113" i="4"/>
  <c r="AW113" i="4" s="1"/>
  <c r="AF114" i="4"/>
  <c r="AW114" i="4" s="1"/>
  <c r="AF115" i="4"/>
  <c r="AW115" i="4" s="1"/>
  <c r="AF116" i="4"/>
  <c r="AW116" i="4" s="1"/>
  <c r="AF117" i="4"/>
  <c r="AW117" i="4" s="1"/>
  <c r="AF118" i="4"/>
  <c r="AW118" i="4" s="1"/>
  <c r="AF119" i="4"/>
  <c r="AW119" i="4" s="1"/>
  <c r="AF120" i="4"/>
  <c r="AW120" i="4" s="1"/>
  <c r="AF121" i="4"/>
  <c r="AW121" i="4" s="1"/>
  <c r="AF122" i="4"/>
  <c r="AW122" i="4" s="1"/>
  <c r="AF123" i="4"/>
  <c r="AW123" i="4" s="1"/>
  <c r="AF124" i="4"/>
  <c r="AW124" i="4" s="1"/>
  <c r="AF80" i="4"/>
  <c r="AW80" i="4" s="1"/>
  <c r="AF81" i="4"/>
  <c r="AW81" i="4" s="1"/>
  <c r="AF82" i="4"/>
  <c r="AW82" i="4" s="1"/>
  <c r="AF83" i="4"/>
  <c r="AW83" i="4" s="1"/>
  <c r="AF84" i="4"/>
  <c r="AW84" i="4" s="1"/>
  <c r="AF85" i="4"/>
  <c r="AW85" i="4" s="1"/>
  <c r="AF86" i="4"/>
  <c r="AW86" i="4" s="1"/>
  <c r="AF87" i="4"/>
  <c r="AW87" i="4" s="1"/>
  <c r="AF88" i="4"/>
  <c r="AW88" i="4" s="1"/>
  <c r="AF89" i="4"/>
  <c r="AW89" i="4" s="1"/>
  <c r="AF90" i="4"/>
  <c r="AW90" i="4" s="1"/>
  <c r="AF91" i="4"/>
  <c r="AW91" i="4" s="1"/>
  <c r="AF92" i="4"/>
  <c r="AW92" i="4" s="1"/>
  <c r="AF93" i="4"/>
  <c r="AW93" i="4" s="1"/>
  <c r="AF94" i="4"/>
  <c r="AW94" i="4" s="1"/>
  <c r="AF95" i="4"/>
  <c r="AW95" i="4" s="1"/>
  <c r="AF96" i="4"/>
  <c r="AW96" i="4" s="1"/>
  <c r="AF97" i="4"/>
  <c r="AW97" i="4" s="1"/>
  <c r="AF98" i="4"/>
  <c r="AW98" i="4" s="1"/>
  <c r="AF99" i="4"/>
  <c r="AW99" i="4" s="1"/>
  <c r="AF100" i="4"/>
  <c r="AW100" i="4" s="1"/>
  <c r="AF101" i="4"/>
  <c r="AW101" i="4" s="1"/>
  <c r="AF102" i="4"/>
  <c r="AW102" i="4" s="1"/>
  <c r="AF103" i="4"/>
  <c r="AW103" i="4" s="1"/>
  <c r="AF104" i="4"/>
  <c r="AW104" i="4" s="1"/>
  <c r="AF57" i="4"/>
  <c r="AW57" i="4" s="1"/>
  <c r="AF58" i="4"/>
  <c r="AW58" i="4" s="1"/>
  <c r="AF59" i="4"/>
  <c r="AW59" i="4" s="1"/>
  <c r="AF60" i="4"/>
  <c r="AW60" i="4" s="1"/>
  <c r="AF61" i="4"/>
  <c r="AW61" i="4" s="1"/>
  <c r="AF62" i="4"/>
  <c r="AW62" i="4" s="1"/>
  <c r="AF63" i="4"/>
  <c r="AW63" i="4" s="1"/>
  <c r="AF64" i="4"/>
  <c r="AW64" i="4" s="1"/>
  <c r="AF65" i="4"/>
  <c r="AW65" i="4" s="1"/>
  <c r="AF66" i="4"/>
  <c r="AW66" i="4" s="1"/>
  <c r="AF67" i="4"/>
  <c r="AW67" i="4" s="1"/>
  <c r="AF68" i="4"/>
  <c r="AW68" i="4" s="1"/>
  <c r="AF69" i="4"/>
  <c r="AW69" i="4" s="1"/>
  <c r="AF70" i="4"/>
  <c r="AW70" i="4" s="1"/>
  <c r="AF71" i="4"/>
  <c r="AW71" i="4" s="1"/>
  <c r="AF72" i="4"/>
  <c r="AW72" i="4" s="1"/>
  <c r="AF73" i="4"/>
  <c r="AW73" i="4" s="1"/>
  <c r="AF75" i="4"/>
  <c r="AW75" i="4" s="1"/>
  <c r="AF76" i="4"/>
  <c r="AW76" i="4" s="1"/>
  <c r="AF77" i="4"/>
  <c r="AW77" i="4" s="1"/>
  <c r="AF78" i="4"/>
  <c r="AW78" i="4" s="1"/>
  <c r="AF79" i="4"/>
  <c r="AW79" i="4" s="1"/>
  <c r="AF33" i="4"/>
  <c r="AW33" i="4" s="1"/>
  <c r="AF34" i="4"/>
  <c r="AW34" i="4" s="1"/>
  <c r="AF35" i="4"/>
  <c r="AW35" i="4" s="1"/>
  <c r="AF36" i="4"/>
  <c r="AW36" i="4" s="1"/>
  <c r="AF37" i="4"/>
  <c r="AW37" i="4" s="1"/>
  <c r="AF38" i="4"/>
  <c r="AW38" i="4" s="1"/>
  <c r="AF39" i="4"/>
  <c r="AW39" i="4" s="1"/>
  <c r="AF40" i="4"/>
  <c r="AW40" i="4" s="1"/>
  <c r="AF41" i="4"/>
  <c r="AW41" i="4" s="1"/>
  <c r="AF42" i="4"/>
  <c r="AW42" i="4" s="1"/>
  <c r="AF43" i="4"/>
  <c r="AW43" i="4" s="1"/>
  <c r="AF44" i="4"/>
  <c r="AW44" i="4" s="1"/>
  <c r="AF45" i="4"/>
  <c r="AW45" i="4" s="1"/>
  <c r="AF46" i="4"/>
  <c r="AW46" i="4" s="1"/>
  <c r="AF47" i="4"/>
  <c r="AW47" i="4" s="1"/>
  <c r="AF48" i="4"/>
  <c r="AW48" i="4" s="1"/>
  <c r="AF49" i="4"/>
  <c r="AW49" i="4" s="1"/>
  <c r="AF50" i="4"/>
  <c r="AW50" i="4" s="1"/>
  <c r="AF51" i="4"/>
  <c r="AW51" i="4" s="1"/>
  <c r="AF52" i="4"/>
  <c r="AW52" i="4" s="1"/>
  <c r="AF53" i="4"/>
  <c r="AW53" i="4" s="1"/>
  <c r="AF54" i="4"/>
  <c r="AW54" i="4" s="1"/>
  <c r="AF55" i="4"/>
  <c r="AW55" i="4" s="1"/>
  <c r="AF56" i="4"/>
  <c r="AW56" i="4" s="1"/>
  <c r="AF11" i="4"/>
  <c r="AW11" i="4" s="1"/>
  <c r="AF12" i="4"/>
  <c r="AW12" i="4" s="1"/>
  <c r="AF13" i="4"/>
  <c r="AW13" i="4" s="1"/>
  <c r="AF14" i="4"/>
  <c r="AW14" i="4" s="1"/>
  <c r="AF15" i="4"/>
  <c r="AW15" i="4" s="1"/>
  <c r="AF16" i="4"/>
  <c r="AW16" i="4" s="1"/>
  <c r="AF17" i="4"/>
  <c r="AW17" i="4" s="1"/>
  <c r="AF18" i="4"/>
  <c r="AW18" i="4" s="1"/>
  <c r="AF19" i="4"/>
  <c r="AW19" i="4" s="1"/>
  <c r="AF20" i="4"/>
  <c r="AW20" i="4" s="1"/>
  <c r="AF21" i="4"/>
  <c r="AW21" i="4" s="1"/>
  <c r="AF22" i="4"/>
  <c r="AW22" i="4" s="1"/>
  <c r="AF23" i="4"/>
  <c r="AW23" i="4" s="1"/>
  <c r="AF24" i="4"/>
  <c r="AW24" i="4" s="1"/>
  <c r="AF25" i="4"/>
  <c r="AW25" i="4" s="1"/>
  <c r="AF26" i="4"/>
  <c r="AW26" i="4" s="1"/>
  <c r="AF27" i="4"/>
  <c r="AW27" i="4" s="1"/>
  <c r="AF28" i="4"/>
  <c r="AW28" i="4" s="1"/>
  <c r="AF29" i="4"/>
  <c r="AW29" i="4" s="1"/>
  <c r="AF30" i="4"/>
  <c r="AW30" i="4" s="1"/>
  <c r="AF31" i="4"/>
  <c r="AW31" i="4" s="1"/>
  <c r="AF32" i="4"/>
  <c r="AW32" i="4" s="1"/>
  <c r="AG74" i="4"/>
  <c r="AX74" i="4" s="1"/>
  <c r="AG5" i="4"/>
  <c r="AX5" i="4" s="1"/>
  <c r="AG105" i="4"/>
  <c r="AX105" i="4" s="1"/>
  <c r="AG106" i="4"/>
  <c r="AX106" i="4" s="1"/>
  <c r="AG107" i="4"/>
  <c r="AX107" i="4" s="1"/>
  <c r="AG108" i="4"/>
  <c r="AX108" i="4" s="1"/>
  <c r="AG109" i="4"/>
  <c r="AX109" i="4" s="1"/>
  <c r="AG110" i="4"/>
  <c r="AX110" i="4" s="1"/>
  <c r="AG111" i="4"/>
  <c r="AX111" i="4" s="1"/>
  <c r="AG112" i="4"/>
  <c r="AX112" i="4" s="1"/>
  <c r="AG113" i="4"/>
  <c r="AX113" i="4" s="1"/>
  <c r="AG114" i="4"/>
  <c r="AX114" i="4" s="1"/>
  <c r="AG115" i="4"/>
  <c r="AX115" i="4" s="1"/>
  <c r="AG116" i="4"/>
  <c r="AX116" i="4" s="1"/>
  <c r="AG117" i="4"/>
  <c r="AX117" i="4" s="1"/>
  <c r="AG118" i="4"/>
  <c r="AX118" i="4" s="1"/>
  <c r="AG119" i="4"/>
  <c r="AX119" i="4" s="1"/>
  <c r="AG120" i="4"/>
  <c r="AX120" i="4" s="1"/>
  <c r="AG121" i="4"/>
  <c r="AX121" i="4" s="1"/>
  <c r="AG122" i="4"/>
  <c r="AX122" i="4" s="1"/>
  <c r="AG123" i="4"/>
  <c r="AX123" i="4" s="1"/>
  <c r="AG124" i="4"/>
  <c r="AX124" i="4" s="1"/>
  <c r="AG80" i="4"/>
  <c r="AX80" i="4" s="1"/>
  <c r="AG81" i="4"/>
  <c r="AX81" i="4" s="1"/>
  <c r="AG82" i="4"/>
  <c r="AX82" i="4" s="1"/>
  <c r="AG83" i="4"/>
  <c r="AX83" i="4" s="1"/>
  <c r="AG84" i="4"/>
  <c r="AX84" i="4" s="1"/>
  <c r="AG85" i="4"/>
  <c r="AX85" i="4" s="1"/>
  <c r="AG86" i="4"/>
  <c r="AX86" i="4" s="1"/>
  <c r="AG87" i="4"/>
  <c r="AX87" i="4" s="1"/>
  <c r="AG88" i="4"/>
  <c r="AX88" i="4" s="1"/>
  <c r="AG89" i="4"/>
  <c r="AX89" i="4" s="1"/>
  <c r="AG90" i="4"/>
  <c r="AX90" i="4" s="1"/>
  <c r="AG91" i="4"/>
  <c r="AX91" i="4" s="1"/>
  <c r="AG92" i="4"/>
  <c r="AX92" i="4" s="1"/>
  <c r="AG93" i="4"/>
  <c r="AX93" i="4" s="1"/>
  <c r="AG94" i="4"/>
  <c r="AX94" i="4" s="1"/>
  <c r="AG95" i="4"/>
  <c r="AX95" i="4" s="1"/>
  <c r="AG96" i="4"/>
  <c r="AX96" i="4" s="1"/>
  <c r="AG97" i="4"/>
  <c r="AX97" i="4" s="1"/>
  <c r="AG98" i="4"/>
  <c r="AX98" i="4" s="1"/>
  <c r="AG99" i="4"/>
  <c r="AX99" i="4" s="1"/>
  <c r="AG100" i="4"/>
  <c r="AX100" i="4" s="1"/>
  <c r="AG101" i="4"/>
  <c r="AX101" i="4" s="1"/>
  <c r="AG102" i="4"/>
  <c r="AX102" i="4" s="1"/>
  <c r="AG103" i="4"/>
  <c r="AX103" i="4" s="1"/>
  <c r="AG104" i="4"/>
  <c r="AX104" i="4" s="1"/>
  <c r="AG57" i="4"/>
  <c r="AX57" i="4" s="1"/>
  <c r="AG58" i="4"/>
  <c r="AX58" i="4" s="1"/>
  <c r="AG59" i="4"/>
  <c r="AX59" i="4" s="1"/>
  <c r="AG60" i="4"/>
  <c r="AX60" i="4" s="1"/>
  <c r="AG61" i="4"/>
  <c r="AX61" i="4" s="1"/>
  <c r="AG62" i="4"/>
  <c r="AX62" i="4" s="1"/>
  <c r="AG63" i="4"/>
  <c r="AX63" i="4" s="1"/>
  <c r="AG64" i="4"/>
  <c r="AX64" i="4" s="1"/>
  <c r="AG65" i="4"/>
  <c r="AX65" i="4" s="1"/>
  <c r="AG66" i="4"/>
  <c r="AX66" i="4" s="1"/>
  <c r="AG67" i="4"/>
  <c r="AX67" i="4" s="1"/>
  <c r="AG68" i="4"/>
  <c r="AX68" i="4" s="1"/>
  <c r="AG69" i="4"/>
  <c r="AX69" i="4" s="1"/>
  <c r="AG70" i="4"/>
  <c r="AX70" i="4" s="1"/>
  <c r="AG71" i="4"/>
  <c r="AX71" i="4" s="1"/>
  <c r="AG72" i="4"/>
  <c r="AX72" i="4" s="1"/>
  <c r="AG73" i="4"/>
  <c r="AX73" i="4" s="1"/>
  <c r="AG75" i="4"/>
  <c r="AX75" i="4" s="1"/>
  <c r="AG76" i="4"/>
  <c r="AX76" i="4" s="1"/>
  <c r="AG77" i="4"/>
  <c r="AX77" i="4" s="1"/>
  <c r="AG78" i="4"/>
  <c r="AX78" i="4" s="1"/>
  <c r="AG79" i="4"/>
  <c r="AX79" i="4" s="1"/>
  <c r="AG33" i="4"/>
  <c r="AX33" i="4" s="1"/>
  <c r="AG34" i="4"/>
  <c r="AX34" i="4" s="1"/>
  <c r="AG35" i="4"/>
  <c r="AX35" i="4" s="1"/>
  <c r="AG36" i="4"/>
  <c r="AX36" i="4" s="1"/>
  <c r="AG37" i="4"/>
  <c r="AX37" i="4" s="1"/>
  <c r="AG38" i="4"/>
  <c r="AX38" i="4" s="1"/>
  <c r="AG39" i="4"/>
  <c r="AX39" i="4" s="1"/>
  <c r="AG40" i="4"/>
  <c r="AX40" i="4" s="1"/>
  <c r="AG41" i="4"/>
  <c r="AX41" i="4" s="1"/>
  <c r="AG42" i="4"/>
  <c r="AX42" i="4" s="1"/>
  <c r="AG43" i="4"/>
  <c r="AX43" i="4" s="1"/>
  <c r="AG44" i="4"/>
  <c r="AX44" i="4" s="1"/>
  <c r="AG45" i="4"/>
  <c r="AX45" i="4" s="1"/>
  <c r="AG46" i="4"/>
  <c r="AX46" i="4" s="1"/>
  <c r="AG47" i="4"/>
  <c r="AX47" i="4" s="1"/>
  <c r="AG48" i="4"/>
  <c r="AX48" i="4" s="1"/>
  <c r="AG49" i="4"/>
  <c r="AX49" i="4" s="1"/>
  <c r="AG50" i="4"/>
  <c r="AX50" i="4" s="1"/>
  <c r="AG51" i="4"/>
  <c r="AX51" i="4" s="1"/>
  <c r="AG52" i="4"/>
  <c r="AX52" i="4" s="1"/>
  <c r="AG53" i="4"/>
  <c r="AX53" i="4" s="1"/>
  <c r="AG54" i="4"/>
  <c r="AX54" i="4" s="1"/>
  <c r="AG55" i="4"/>
  <c r="AX55" i="4" s="1"/>
  <c r="AG56" i="4"/>
  <c r="AX56" i="4" s="1"/>
  <c r="AG11" i="4"/>
  <c r="AX11" i="4" s="1"/>
  <c r="AG12" i="4"/>
  <c r="AX12" i="4" s="1"/>
  <c r="AG13" i="4"/>
  <c r="AX13" i="4" s="1"/>
  <c r="AG14" i="4"/>
  <c r="AX14" i="4" s="1"/>
  <c r="AG15" i="4"/>
  <c r="AX15" i="4" s="1"/>
  <c r="AG16" i="4"/>
  <c r="AX16" i="4" s="1"/>
  <c r="AG17" i="4"/>
  <c r="AX17" i="4" s="1"/>
  <c r="AG18" i="4"/>
  <c r="AX18" i="4" s="1"/>
  <c r="AG19" i="4"/>
  <c r="AX19" i="4" s="1"/>
  <c r="AG20" i="4"/>
  <c r="AX20" i="4" s="1"/>
  <c r="AG21" i="4"/>
  <c r="AX21" i="4" s="1"/>
  <c r="AG22" i="4"/>
  <c r="AX22" i="4" s="1"/>
  <c r="AG23" i="4"/>
  <c r="AX23" i="4" s="1"/>
  <c r="AG24" i="4"/>
  <c r="AX24" i="4" s="1"/>
  <c r="AG25" i="4"/>
  <c r="AX25" i="4" s="1"/>
  <c r="AG26" i="4"/>
  <c r="AX26" i="4" s="1"/>
  <c r="AG27" i="4"/>
  <c r="AX27" i="4" s="1"/>
  <c r="AG28" i="4"/>
  <c r="AX28" i="4" s="1"/>
  <c r="AG29" i="4"/>
  <c r="AX29" i="4" s="1"/>
  <c r="AG30" i="4"/>
  <c r="AX30" i="4" s="1"/>
  <c r="AG31" i="4"/>
  <c r="AX31" i="4" s="1"/>
  <c r="AG32" i="4"/>
  <c r="AX32" i="4" s="1"/>
  <c r="AH74" i="4"/>
  <c r="AY74" i="4" s="1"/>
  <c r="AH5" i="4"/>
  <c r="AY5" i="4" s="1"/>
  <c r="AH105" i="4"/>
  <c r="AY105" i="4" s="1"/>
  <c r="AH106" i="4"/>
  <c r="AY106" i="4" s="1"/>
  <c r="AH107" i="4"/>
  <c r="AY107" i="4" s="1"/>
  <c r="AH108" i="4"/>
  <c r="AY108" i="4" s="1"/>
  <c r="AH109" i="4"/>
  <c r="AY109" i="4" s="1"/>
  <c r="AH110" i="4"/>
  <c r="AY110" i="4" s="1"/>
  <c r="AH111" i="4"/>
  <c r="AY111" i="4" s="1"/>
  <c r="AH112" i="4"/>
  <c r="AY112" i="4" s="1"/>
  <c r="AH113" i="4"/>
  <c r="AY113" i="4" s="1"/>
  <c r="AH114" i="4"/>
  <c r="AY114" i="4" s="1"/>
  <c r="AH115" i="4"/>
  <c r="AY115" i="4" s="1"/>
  <c r="AH116" i="4"/>
  <c r="AY116" i="4" s="1"/>
  <c r="AH117" i="4"/>
  <c r="AY117" i="4" s="1"/>
  <c r="AH118" i="4"/>
  <c r="AY118" i="4" s="1"/>
  <c r="AH119" i="4"/>
  <c r="AY119" i="4" s="1"/>
  <c r="AH120" i="4"/>
  <c r="AY120" i="4" s="1"/>
  <c r="AH121" i="4"/>
  <c r="AY121" i="4" s="1"/>
  <c r="AH122" i="4"/>
  <c r="AY122" i="4" s="1"/>
  <c r="AH123" i="4"/>
  <c r="AY123" i="4" s="1"/>
  <c r="AH124" i="4"/>
  <c r="AY124" i="4" s="1"/>
  <c r="AH80" i="4"/>
  <c r="AY80" i="4" s="1"/>
  <c r="AH81" i="4"/>
  <c r="AY81" i="4" s="1"/>
  <c r="AH82" i="4"/>
  <c r="AY82" i="4" s="1"/>
  <c r="AH83" i="4"/>
  <c r="AY83" i="4" s="1"/>
  <c r="AH84" i="4"/>
  <c r="AY84" i="4" s="1"/>
  <c r="AH85" i="4"/>
  <c r="AY85" i="4" s="1"/>
  <c r="AH86" i="4"/>
  <c r="AY86" i="4" s="1"/>
  <c r="AH87" i="4"/>
  <c r="AY87" i="4" s="1"/>
  <c r="AH88" i="4"/>
  <c r="AY88" i="4" s="1"/>
  <c r="AH89" i="4"/>
  <c r="AY89" i="4" s="1"/>
  <c r="AH90" i="4"/>
  <c r="AY90" i="4" s="1"/>
  <c r="AH91" i="4"/>
  <c r="AY91" i="4" s="1"/>
  <c r="AH92" i="4"/>
  <c r="AY92" i="4" s="1"/>
  <c r="AH93" i="4"/>
  <c r="AY93" i="4" s="1"/>
  <c r="AH94" i="4"/>
  <c r="AY94" i="4" s="1"/>
  <c r="AH95" i="4"/>
  <c r="AY95" i="4" s="1"/>
  <c r="AH96" i="4"/>
  <c r="AY96" i="4" s="1"/>
  <c r="AH97" i="4"/>
  <c r="AY97" i="4" s="1"/>
  <c r="AH98" i="4"/>
  <c r="AY98" i="4" s="1"/>
  <c r="AH99" i="4"/>
  <c r="AY99" i="4" s="1"/>
  <c r="AH100" i="4"/>
  <c r="AY100" i="4" s="1"/>
  <c r="AH101" i="4"/>
  <c r="AY101" i="4" s="1"/>
  <c r="AH102" i="4"/>
  <c r="AY102" i="4" s="1"/>
  <c r="AH103" i="4"/>
  <c r="AY103" i="4" s="1"/>
  <c r="AH104" i="4"/>
  <c r="AY104" i="4" s="1"/>
  <c r="AH57" i="4"/>
  <c r="AY57" i="4" s="1"/>
  <c r="AH58" i="4"/>
  <c r="AY58" i="4" s="1"/>
  <c r="AH59" i="4"/>
  <c r="AY59" i="4" s="1"/>
  <c r="AH60" i="4"/>
  <c r="AY60" i="4" s="1"/>
  <c r="AH61" i="4"/>
  <c r="AY61" i="4" s="1"/>
  <c r="AH62" i="4"/>
  <c r="AY62" i="4" s="1"/>
  <c r="AH63" i="4"/>
  <c r="AY63" i="4" s="1"/>
  <c r="AH64" i="4"/>
  <c r="AY64" i="4" s="1"/>
  <c r="AH65" i="4"/>
  <c r="AY65" i="4" s="1"/>
  <c r="AH66" i="4"/>
  <c r="AY66" i="4" s="1"/>
  <c r="AH67" i="4"/>
  <c r="AY67" i="4" s="1"/>
  <c r="AH68" i="4"/>
  <c r="AY68" i="4" s="1"/>
  <c r="AH69" i="4"/>
  <c r="AY69" i="4" s="1"/>
  <c r="AH70" i="4"/>
  <c r="AY70" i="4" s="1"/>
  <c r="AH71" i="4"/>
  <c r="AY71" i="4" s="1"/>
  <c r="AH72" i="4"/>
  <c r="AY72" i="4" s="1"/>
  <c r="AH73" i="4"/>
  <c r="AY73" i="4" s="1"/>
  <c r="AH75" i="4"/>
  <c r="AY75" i="4" s="1"/>
  <c r="AH76" i="4"/>
  <c r="AY76" i="4" s="1"/>
  <c r="AH77" i="4"/>
  <c r="AY77" i="4" s="1"/>
  <c r="AH78" i="4"/>
  <c r="AY78" i="4" s="1"/>
  <c r="AH79" i="4"/>
  <c r="AY79" i="4" s="1"/>
  <c r="AH33" i="4"/>
  <c r="AY33" i="4" s="1"/>
  <c r="AH34" i="4"/>
  <c r="AY34" i="4" s="1"/>
  <c r="AH35" i="4"/>
  <c r="AY35" i="4" s="1"/>
  <c r="AH36" i="4"/>
  <c r="AY36" i="4" s="1"/>
  <c r="AH37" i="4"/>
  <c r="AY37" i="4" s="1"/>
  <c r="AH38" i="4"/>
  <c r="AY38" i="4" s="1"/>
  <c r="AH39" i="4"/>
  <c r="AY39" i="4" s="1"/>
  <c r="AH40" i="4"/>
  <c r="AY40" i="4" s="1"/>
  <c r="AH41" i="4"/>
  <c r="AY41" i="4" s="1"/>
  <c r="AH42" i="4"/>
  <c r="AY42" i="4" s="1"/>
  <c r="AH43" i="4"/>
  <c r="AY43" i="4" s="1"/>
  <c r="AH44" i="4"/>
  <c r="AY44" i="4" s="1"/>
  <c r="AH45" i="4"/>
  <c r="AY45" i="4" s="1"/>
  <c r="AH46" i="4"/>
  <c r="AY46" i="4" s="1"/>
  <c r="AH47" i="4"/>
  <c r="AY47" i="4" s="1"/>
  <c r="AH48" i="4"/>
  <c r="AY48" i="4" s="1"/>
  <c r="AH49" i="4"/>
  <c r="AY49" i="4" s="1"/>
  <c r="AH50" i="4"/>
  <c r="AY50" i="4" s="1"/>
  <c r="AH51" i="4"/>
  <c r="AY51" i="4" s="1"/>
  <c r="AH52" i="4"/>
  <c r="AY52" i="4" s="1"/>
  <c r="AH53" i="4"/>
  <c r="AY53" i="4" s="1"/>
  <c r="AH54" i="4"/>
  <c r="AY54" i="4" s="1"/>
  <c r="AH55" i="4"/>
  <c r="AY55" i="4" s="1"/>
  <c r="AH56" i="4"/>
  <c r="AY56" i="4" s="1"/>
  <c r="AH11" i="4"/>
  <c r="AY11" i="4" s="1"/>
  <c r="AH12" i="4"/>
  <c r="AY12" i="4" s="1"/>
  <c r="AH13" i="4"/>
  <c r="AY13" i="4" s="1"/>
  <c r="AH15" i="4"/>
  <c r="AY15" i="4" s="1"/>
  <c r="AH16" i="4"/>
  <c r="AY16" i="4" s="1"/>
  <c r="AH17" i="4"/>
  <c r="AY17" i="4" s="1"/>
  <c r="AH18" i="4"/>
  <c r="AY18" i="4" s="1"/>
  <c r="AH19" i="4"/>
  <c r="AY19" i="4" s="1"/>
  <c r="AH20" i="4"/>
  <c r="AY20" i="4" s="1"/>
  <c r="AH21" i="4"/>
  <c r="AY21" i="4" s="1"/>
  <c r="AH22" i="4"/>
  <c r="AY22" i="4" s="1"/>
  <c r="AH23" i="4"/>
  <c r="AY23" i="4" s="1"/>
  <c r="AH24" i="4"/>
  <c r="AY24" i="4" s="1"/>
  <c r="AH25" i="4"/>
  <c r="AY25" i="4" s="1"/>
  <c r="AH26" i="4"/>
  <c r="AY26" i="4" s="1"/>
  <c r="AH27" i="4"/>
  <c r="AY27" i="4" s="1"/>
  <c r="AH28" i="4"/>
  <c r="AY28" i="4" s="1"/>
  <c r="AH29" i="4"/>
  <c r="AY29" i="4" s="1"/>
  <c r="AH30" i="4"/>
  <c r="AY30" i="4" s="1"/>
  <c r="AH31" i="4"/>
  <c r="AY31" i="4" s="1"/>
  <c r="AH32" i="4"/>
  <c r="AY32" i="4" s="1"/>
  <c r="AI9" i="4"/>
  <c r="AZ9" i="4" s="1"/>
  <c r="AI74" i="4"/>
  <c r="AZ74" i="4" s="1"/>
  <c r="AI5" i="4"/>
  <c r="AZ5" i="4" s="1"/>
  <c r="AI105" i="4"/>
  <c r="AZ105" i="4" s="1"/>
  <c r="AI106" i="4"/>
  <c r="AZ106" i="4" s="1"/>
  <c r="AI107" i="4"/>
  <c r="AZ107" i="4" s="1"/>
  <c r="AI108" i="4"/>
  <c r="AZ108" i="4" s="1"/>
  <c r="AI109" i="4"/>
  <c r="AZ109" i="4" s="1"/>
  <c r="AI110" i="4"/>
  <c r="AZ110" i="4" s="1"/>
  <c r="AI111" i="4"/>
  <c r="AZ111" i="4" s="1"/>
  <c r="AI112" i="4"/>
  <c r="AZ112" i="4" s="1"/>
  <c r="AI113" i="4"/>
  <c r="AZ113" i="4" s="1"/>
  <c r="AI114" i="4"/>
  <c r="AZ114" i="4" s="1"/>
  <c r="AI115" i="4"/>
  <c r="AZ115" i="4" s="1"/>
  <c r="AI116" i="4"/>
  <c r="AZ116" i="4" s="1"/>
  <c r="AI117" i="4"/>
  <c r="AZ117" i="4" s="1"/>
  <c r="AI118" i="4"/>
  <c r="AZ118" i="4" s="1"/>
  <c r="AI119" i="4"/>
  <c r="AZ119" i="4" s="1"/>
  <c r="AI120" i="4"/>
  <c r="AZ120" i="4" s="1"/>
  <c r="AI121" i="4"/>
  <c r="AZ121" i="4" s="1"/>
  <c r="AI122" i="4"/>
  <c r="AZ122" i="4" s="1"/>
  <c r="AI123" i="4"/>
  <c r="AZ123" i="4" s="1"/>
  <c r="AI124" i="4"/>
  <c r="AZ124" i="4" s="1"/>
  <c r="AI80" i="4"/>
  <c r="AZ80" i="4" s="1"/>
  <c r="AI81" i="4"/>
  <c r="AZ81" i="4" s="1"/>
  <c r="AI82" i="4"/>
  <c r="AZ82" i="4" s="1"/>
  <c r="AI83" i="4"/>
  <c r="AZ83" i="4" s="1"/>
  <c r="AI84" i="4"/>
  <c r="AZ84" i="4" s="1"/>
  <c r="AI85" i="4"/>
  <c r="AZ85" i="4" s="1"/>
  <c r="AI86" i="4"/>
  <c r="AZ86" i="4" s="1"/>
  <c r="AI87" i="4"/>
  <c r="AZ87" i="4" s="1"/>
  <c r="AI88" i="4"/>
  <c r="AZ88" i="4" s="1"/>
  <c r="AI89" i="4"/>
  <c r="AZ89" i="4" s="1"/>
  <c r="AI90" i="4"/>
  <c r="AZ90" i="4" s="1"/>
  <c r="AI91" i="4"/>
  <c r="AZ91" i="4" s="1"/>
  <c r="AI92" i="4"/>
  <c r="AZ92" i="4" s="1"/>
  <c r="AI93" i="4"/>
  <c r="AZ93" i="4" s="1"/>
  <c r="AI94" i="4"/>
  <c r="AZ94" i="4" s="1"/>
  <c r="AI95" i="4"/>
  <c r="AZ95" i="4" s="1"/>
  <c r="AI96" i="4"/>
  <c r="AZ96" i="4" s="1"/>
  <c r="AI97" i="4"/>
  <c r="AZ97" i="4" s="1"/>
  <c r="AI98" i="4"/>
  <c r="AZ98" i="4" s="1"/>
  <c r="AI99" i="4"/>
  <c r="AZ99" i="4" s="1"/>
  <c r="AI100" i="4"/>
  <c r="AZ100" i="4" s="1"/>
  <c r="AI101" i="4"/>
  <c r="AZ101" i="4" s="1"/>
  <c r="AI102" i="4"/>
  <c r="AZ102" i="4" s="1"/>
  <c r="AI103" i="4"/>
  <c r="AZ103" i="4" s="1"/>
  <c r="AI104" i="4"/>
  <c r="AZ104" i="4" s="1"/>
  <c r="AI57" i="4"/>
  <c r="AZ57" i="4" s="1"/>
  <c r="AI58" i="4"/>
  <c r="AZ58" i="4" s="1"/>
  <c r="AI59" i="4"/>
  <c r="AZ59" i="4" s="1"/>
  <c r="AI60" i="4"/>
  <c r="AZ60" i="4" s="1"/>
  <c r="AI61" i="4"/>
  <c r="AZ61" i="4" s="1"/>
  <c r="AI62" i="4"/>
  <c r="AZ62" i="4" s="1"/>
  <c r="AI63" i="4"/>
  <c r="AZ63" i="4" s="1"/>
  <c r="AI64" i="4"/>
  <c r="AZ64" i="4" s="1"/>
  <c r="AI65" i="4"/>
  <c r="AZ65" i="4" s="1"/>
  <c r="AI66" i="4"/>
  <c r="AZ66" i="4" s="1"/>
  <c r="AI67" i="4"/>
  <c r="AZ67" i="4" s="1"/>
  <c r="AI68" i="4"/>
  <c r="AZ68" i="4" s="1"/>
  <c r="AI69" i="4"/>
  <c r="AZ69" i="4" s="1"/>
  <c r="AI70" i="4"/>
  <c r="AZ70" i="4" s="1"/>
  <c r="AI71" i="4"/>
  <c r="AZ71" i="4" s="1"/>
  <c r="AI72" i="4"/>
  <c r="AZ72" i="4" s="1"/>
  <c r="AI73" i="4"/>
  <c r="AZ73" i="4" s="1"/>
  <c r="AI75" i="4"/>
  <c r="AZ75" i="4" s="1"/>
  <c r="AI76" i="4"/>
  <c r="AZ76" i="4" s="1"/>
  <c r="AI77" i="4"/>
  <c r="AZ77" i="4" s="1"/>
  <c r="AI78" i="4"/>
  <c r="AZ78" i="4" s="1"/>
  <c r="AI79" i="4"/>
  <c r="AZ79" i="4" s="1"/>
  <c r="AI33" i="4"/>
  <c r="AZ33" i="4" s="1"/>
  <c r="AI34" i="4"/>
  <c r="AZ34" i="4" s="1"/>
  <c r="AI35" i="4"/>
  <c r="AZ35" i="4" s="1"/>
  <c r="AI36" i="4"/>
  <c r="AZ36" i="4" s="1"/>
  <c r="AI37" i="4"/>
  <c r="AZ37" i="4" s="1"/>
  <c r="AI38" i="4"/>
  <c r="AZ38" i="4" s="1"/>
  <c r="AI39" i="4"/>
  <c r="AZ39" i="4" s="1"/>
  <c r="AI40" i="4"/>
  <c r="AZ40" i="4" s="1"/>
  <c r="AI41" i="4"/>
  <c r="AZ41" i="4" s="1"/>
  <c r="AI42" i="4"/>
  <c r="AZ42" i="4" s="1"/>
  <c r="AI43" i="4"/>
  <c r="AZ43" i="4" s="1"/>
  <c r="AI44" i="4"/>
  <c r="AZ44" i="4" s="1"/>
  <c r="AI45" i="4"/>
  <c r="AZ45" i="4" s="1"/>
  <c r="AI46" i="4"/>
  <c r="AZ46" i="4" s="1"/>
  <c r="AI47" i="4"/>
  <c r="AZ47" i="4" s="1"/>
  <c r="AI48" i="4"/>
  <c r="AZ48" i="4" s="1"/>
  <c r="AI49" i="4"/>
  <c r="AZ49" i="4" s="1"/>
  <c r="AI50" i="4"/>
  <c r="AZ50" i="4" s="1"/>
  <c r="AI51" i="4"/>
  <c r="AZ51" i="4" s="1"/>
  <c r="AI52" i="4"/>
  <c r="AZ52" i="4" s="1"/>
  <c r="AI53" i="4"/>
  <c r="AZ53" i="4" s="1"/>
  <c r="AI54" i="4"/>
  <c r="AZ54" i="4" s="1"/>
  <c r="AI55" i="4"/>
  <c r="AZ55" i="4" s="1"/>
  <c r="AI56" i="4"/>
  <c r="AZ56" i="4" s="1"/>
  <c r="AI11" i="4"/>
  <c r="AZ11" i="4" s="1"/>
  <c r="AI12" i="4"/>
  <c r="AZ12" i="4" s="1"/>
  <c r="AI13" i="4"/>
  <c r="AZ13" i="4" s="1"/>
  <c r="AI14" i="4"/>
  <c r="AZ14" i="4" s="1"/>
  <c r="AI15" i="4"/>
  <c r="AZ15" i="4" s="1"/>
  <c r="AI16" i="4"/>
  <c r="AZ16" i="4" s="1"/>
  <c r="AI17" i="4"/>
  <c r="AZ17" i="4" s="1"/>
  <c r="AI18" i="4"/>
  <c r="AZ18" i="4" s="1"/>
  <c r="AI19" i="4"/>
  <c r="AZ19" i="4" s="1"/>
  <c r="AI20" i="4"/>
  <c r="AZ20" i="4" s="1"/>
  <c r="AI21" i="4"/>
  <c r="AZ21" i="4" s="1"/>
  <c r="AI22" i="4"/>
  <c r="AZ22" i="4" s="1"/>
  <c r="AI23" i="4"/>
  <c r="AZ23" i="4" s="1"/>
  <c r="AI24" i="4"/>
  <c r="AZ24" i="4" s="1"/>
  <c r="AI25" i="4"/>
  <c r="AZ25" i="4" s="1"/>
  <c r="AI26" i="4"/>
  <c r="AZ26" i="4" s="1"/>
  <c r="AI27" i="4"/>
  <c r="AZ27" i="4" s="1"/>
  <c r="AI28" i="4"/>
  <c r="AZ28" i="4" s="1"/>
  <c r="AI29" i="4"/>
  <c r="AZ29" i="4" s="1"/>
  <c r="AI30" i="4"/>
  <c r="AZ30" i="4" s="1"/>
  <c r="AI31" i="4"/>
  <c r="AZ31" i="4" s="1"/>
  <c r="AI32" i="4"/>
  <c r="AZ32" i="4" s="1"/>
  <c r="X14" i="4"/>
  <c r="Z14" i="4"/>
  <c r="AA14" i="4"/>
  <c r="AB14" i="4"/>
  <c r="AC14" i="4"/>
  <c r="AD14" i="4"/>
  <c r="AE14" i="4"/>
  <c r="AH14" i="4"/>
  <c r="AY14" i="4" s="1"/>
  <c r="AA9" i="4"/>
  <c r="Y6" i="4"/>
  <c r="AP6" i="4" s="1"/>
  <c r="AG6" i="4"/>
  <c r="AX6" i="4" s="1"/>
  <c r="Y10" i="4"/>
  <c r="AP10" i="4" s="1"/>
  <c r="AI7" i="4"/>
  <c r="AZ7" i="4" s="1"/>
  <c r="AE7" i="4"/>
  <c r="AV7" i="4" s="1"/>
  <c r="AC6" i="4"/>
  <c r="AT6" i="4" s="1"/>
  <c r="AA7" i="4"/>
  <c r="AR7" i="4" s="1"/>
  <c r="AA6" i="4"/>
  <c r="AR6" i="4" s="1"/>
  <c r="AE6" i="4"/>
  <c r="AV6" i="4" s="1"/>
  <c r="AI6" i="4"/>
  <c r="AZ6" i="4" s="1"/>
  <c r="AF10" i="4"/>
  <c r="AW10" i="4" s="1"/>
  <c r="X9" i="4"/>
  <c r="AB7" i="4"/>
  <c r="AS7" i="4" s="1"/>
  <c r="AB6" i="4"/>
  <c r="AS6" i="4" s="1"/>
  <c r="AE9" i="4"/>
  <c r="X10" i="4"/>
  <c r="AO10" i="4" s="1"/>
  <c r="AB9" i="4"/>
  <c r="AH7" i="4"/>
  <c r="AY7" i="4" s="1"/>
  <c r="AD7" i="4"/>
  <c r="AU7" i="4" s="1"/>
  <c r="Z7" i="4"/>
  <c r="AQ7" i="4" s="1"/>
  <c r="AH6" i="4"/>
  <c r="AY6" i="4" s="1"/>
  <c r="AD6" i="4"/>
  <c r="AU6" i="4" s="1"/>
  <c r="Z6" i="4"/>
  <c r="AQ6" i="4" s="1"/>
  <c r="AF9" i="4"/>
  <c r="AW9" i="4" s="1"/>
  <c r="AF7" i="4"/>
  <c r="AW7" i="4" s="1"/>
  <c r="X7" i="4"/>
  <c r="AO7" i="4" s="1"/>
  <c r="AF6" i="4"/>
  <c r="AW6" i="4" s="1"/>
  <c r="X6" i="4"/>
  <c r="AO6" i="4" s="1"/>
  <c r="AB10" i="4"/>
  <c r="AS10" i="4" s="1"/>
  <c r="Y9" i="4"/>
  <c r="AG7" i="4"/>
  <c r="AX7" i="4" s="1"/>
  <c r="AC7" i="4"/>
  <c r="AT7" i="4" s="1"/>
  <c r="Y7" i="4"/>
  <c r="AP7" i="4" s="1"/>
  <c r="AE10" i="4"/>
  <c r="AV10" i="4" s="1"/>
  <c r="AH10" i="4"/>
  <c r="AY10" i="4" s="1"/>
  <c r="AD10" i="4"/>
  <c r="AU10" i="4" s="1"/>
  <c r="Z10" i="4"/>
  <c r="AQ10" i="4" s="1"/>
  <c r="AH9" i="4"/>
  <c r="AY9" i="4" s="1"/>
  <c r="AD9" i="4"/>
  <c r="Z9" i="4"/>
  <c r="AI10" i="4"/>
  <c r="AZ10" i="4" s="1"/>
  <c r="AA10" i="4"/>
  <c r="AR10" i="4" s="1"/>
  <c r="AG10" i="4"/>
  <c r="AX10" i="4" s="1"/>
  <c r="AC10" i="4"/>
  <c r="AT10" i="4" s="1"/>
  <c r="AG9" i="4"/>
  <c r="AX9" i="4" s="1"/>
  <c r="AC9" i="4"/>
  <c r="AR12" i="4" l="1"/>
  <c r="AO12" i="4"/>
  <c r="AU12" i="4"/>
  <c r="AV14" i="4"/>
  <c r="AU14" i="4"/>
  <c r="AP16" i="4"/>
  <c r="AT14" i="4"/>
  <c r="AS16" i="4"/>
  <c r="AP15" i="4"/>
  <c r="AS14" i="4"/>
  <c r="AV16" i="4"/>
  <c r="AS15" i="4"/>
  <c r="AP14" i="4"/>
  <c r="AP5" i="4"/>
  <c r="AR14" i="4"/>
  <c r="AR16" i="4"/>
  <c r="AU16" i="4"/>
  <c r="AU15" i="4"/>
  <c r="AQ14" i="4"/>
  <c r="AT5" i="4"/>
  <c r="AO14" i="4"/>
  <c r="AV12" i="4"/>
  <c r="AV5" i="4"/>
  <c r="AR5" i="4"/>
  <c r="AT16" i="4"/>
  <c r="AQ15" i="4"/>
  <c r="AT15" i="4"/>
  <c r="AT13" i="4"/>
  <c r="AT12" i="4"/>
  <c r="AO15" i="4"/>
  <c r="AV13" i="4"/>
  <c r="AQ16" i="4"/>
  <c r="AQ12" i="4"/>
  <c r="AJ112" i="4"/>
  <c r="BA112" i="4" s="1"/>
  <c r="AJ111" i="4"/>
  <c r="BA111" i="4" s="1"/>
  <c r="AJ110" i="4"/>
  <c r="BA110" i="4" s="1"/>
  <c r="AJ109" i="4"/>
  <c r="BA109" i="4" s="1"/>
  <c r="AJ108" i="4"/>
  <c r="BA108" i="4" s="1"/>
  <c r="AJ107" i="4"/>
  <c r="BA107" i="4" s="1"/>
  <c r="AJ106" i="4"/>
  <c r="BA106" i="4" s="1"/>
  <c r="AJ105" i="4"/>
  <c r="BA105" i="4" s="1"/>
  <c r="AJ59" i="4"/>
  <c r="BA59" i="4" s="1"/>
  <c r="AJ86" i="4"/>
  <c r="BA86" i="4" s="1"/>
  <c r="AJ26" i="4"/>
  <c r="BA26" i="4" s="1"/>
  <c r="AJ85" i="4"/>
  <c r="BA85" i="4" s="1"/>
  <c r="AJ84" i="4"/>
  <c r="BA84" i="4" s="1"/>
  <c r="AJ24" i="4"/>
  <c r="BA24" i="4" s="1"/>
  <c r="AJ83" i="4"/>
  <c r="BA83" i="4" s="1"/>
  <c r="AJ23" i="4"/>
  <c r="BA23" i="4" s="1"/>
  <c r="AJ75" i="4"/>
  <c r="BA75" i="4" s="1"/>
  <c r="AJ102" i="4"/>
  <c r="BA102" i="4" s="1"/>
  <c r="AJ73" i="4"/>
  <c r="BA73" i="4" s="1"/>
  <c r="AJ101" i="4"/>
  <c r="BA101" i="4" s="1"/>
  <c r="AJ6" i="4"/>
  <c r="BA6" i="4" s="1"/>
  <c r="AJ28" i="4"/>
  <c r="BA28" i="4" s="1"/>
  <c r="AJ87" i="4"/>
  <c r="BA87" i="4" s="1"/>
  <c r="AJ27" i="4"/>
  <c r="BA27" i="4" s="1"/>
  <c r="AJ58" i="4"/>
  <c r="BA58" i="4" s="1"/>
  <c r="AJ51" i="4"/>
  <c r="BA51" i="4" s="1"/>
  <c r="AJ57" i="4"/>
  <c r="BA57" i="4" s="1"/>
  <c r="AJ25" i="4"/>
  <c r="BA25" i="4" s="1"/>
  <c r="AJ104" i="4"/>
  <c r="BA104" i="4" s="1"/>
  <c r="AJ49" i="4"/>
  <c r="BA49" i="4" s="1"/>
  <c r="AJ103" i="4"/>
  <c r="BA103" i="4" s="1"/>
  <c r="AJ48" i="4"/>
  <c r="BA48" i="4" s="1"/>
  <c r="AJ82" i="4"/>
  <c r="BA82" i="4" s="1"/>
  <c r="AJ47" i="4"/>
  <c r="BA47" i="4" s="1"/>
  <c r="AJ81" i="4"/>
  <c r="BA81" i="4" s="1"/>
  <c r="AJ46" i="4"/>
  <c r="BA46" i="4" s="1"/>
  <c r="AJ72" i="4"/>
  <c r="BA72" i="4" s="1"/>
  <c r="AJ100" i="4"/>
  <c r="BA100" i="4" s="1"/>
  <c r="AJ80" i="4"/>
  <c r="BA80" i="4" s="1"/>
  <c r="AJ71" i="4"/>
  <c r="BA71" i="4" s="1"/>
  <c r="AJ74" i="4"/>
  <c r="BA74" i="4" s="1"/>
  <c r="AJ7" i="4"/>
  <c r="BA7" i="4" s="1"/>
  <c r="AJ123" i="4"/>
  <c r="BA123" i="4" s="1"/>
  <c r="AJ69" i="4"/>
  <c r="BA69" i="4" s="1"/>
  <c r="AJ68" i="4"/>
  <c r="BA68" i="4" s="1"/>
  <c r="AJ67" i="4"/>
  <c r="BA67" i="4" s="1"/>
  <c r="AJ66" i="4"/>
  <c r="BA66" i="4" s="1"/>
  <c r="AJ94" i="4"/>
  <c r="BA94" i="4" s="1"/>
  <c r="AJ119" i="4"/>
  <c r="BA119" i="4" s="1"/>
  <c r="AJ39" i="4"/>
  <c r="BA39" i="4" s="1"/>
  <c r="AJ65" i="4"/>
  <c r="BA65" i="4" s="1"/>
  <c r="AJ93" i="4"/>
  <c r="BA93" i="4" s="1"/>
  <c r="AJ118" i="4"/>
  <c r="BA118" i="4" s="1"/>
  <c r="AJ45" i="4"/>
  <c r="BA45" i="4" s="1"/>
  <c r="AJ99" i="4"/>
  <c r="BA99" i="4" s="1"/>
  <c r="AJ124" i="4"/>
  <c r="BA124" i="4" s="1"/>
  <c r="AJ44" i="4"/>
  <c r="BA44" i="4" s="1"/>
  <c r="AJ70" i="4"/>
  <c r="BA70" i="4" s="1"/>
  <c r="AJ98" i="4"/>
  <c r="BA98" i="4" s="1"/>
  <c r="AJ43" i="4"/>
  <c r="BA43" i="4" s="1"/>
  <c r="AJ97" i="4"/>
  <c r="BA97" i="4" s="1"/>
  <c r="AJ122" i="4"/>
  <c r="BA122" i="4" s="1"/>
  <c r="AJ42" i="4"/>
  <c r="BA42" i="4" s="1"/>
  <c r="AJ96" i="4"/>
  <c r="BA96" i="4" s="1"/>
  <c r="AJ121" i="4"/>
  <c r="BA121" i="4" s="1"/>
  <c r="AJ41" i="4"/>
  <c r="BA41" i="4" s="1"/>
  <c r="AJ95" i="4"/>
  <c r="BA95" i="4" s="1"/>
  <c r="AJ120" i="4"/>
  <c r="BA120" i="4" s="1"/>
  <c r="AJ40" i="4"/>
  <c r="BA40" i="4" s="1"/>
  <c r="AJ38" i="4"/>
  <c r="BA38" i="4" s="1"/>
  <c r="AJ64" i="4"/>
  <c r="BA64" i="4" s="1"/>
  <c r="AJ92" i="4"/>
  <c r="BA92" i="4" s="1"/>
  <c r="AJ117" i="4"/>
  <c r="BA117" i="4" s="1"/>
  <c r="AJ33" i="4"/>
  <c r="BA33" i="4" s="1"/>
  <c r="AJ79" i="4"/>
  <c r="BA79" i="4" s="1"/>
  <c r="AJ78" i="4"/>
  <c r="BA78" i="4" s="1"/>
  <c r="AJ9" i="4"/>
  <c r="AT9" i="4" s="1"/>
  <c r="AJ77" i="4"/>
  <c r="BA77" i="4" s="1"/>
  <c r="AJ76" i="4"/>
  <c r="BA76" i="4" s="1"/>
  <c r="AJ32" i="4"/>
  <c r="BA32" i="4" s="1"/>
  <c r="AJ37" i="4"/>
  <c r="BA37" i="4" s="1"/>
  <c r="AJ116" i="4"/>
  <c r="BA116" i="4" s="1"/>
  <c r="AJ31" i="4"/>
  <c r="BA31" i="4" s="1"/>
  <c r="AJ36" i="4"/>
  <c r="BA36" i="4" s="1"/>
  <c r="AJ115" i="4"/>
  <c r="BA115" i="4" s="1"/>
  <c r="AJ53" i="4"/>
  <c r="BA53" i="4" s="1"/>
  <c r="AJ52" i="4"/>
  <c r="BA52" i="4" s="1"/>
  <c r="AJ50" i="4"/>
  <c r="BA50" i="4" s="1"/>
  <c r="AJ63" i="4"/>
  <c r="BA63" i="4" s="1"/>
  <c r="AJ91" i="4"/>
  <c r="BA91" i="4" s="1"/>
  <c r="AJ56" i="4"/>
  <c r="BA56" i="4" s="1"/>
  <c r="AJ62" i="4"/>
  <c r="BA62" i="4" s="1"/>
  <c r="AJ90" i="4"/>
  <c r="BA90" i="4" s="1"/>
  <c r="AJ30" i="4"/>
  <c r="BA30" i="4" s="1"/>
  <c r="AJ55" i="4"/>
  <c r="BA55" i="4" s="1"/>
  <c r="AJ35" i="4"/>
  <c r="BA35" i="4" s="1"/>
  <c r="AJ61" i="4"/>
  <c r="BA61" i="4" s="1"/>
  <c r="AJ89" i="4"/>
  <c r="BA89" i="4" s="1"/>
  <c r="AJ114" i="4"/>
  <c r="BA114" i="4" s="1"/>
  <c r="AJ10" i="4"/>
  <c r="BA10" i="4" s="1"/>
  <c r="AJ29" i="4"/>
  <c r="BA29" i="4" s="1"/>
  <c r="AJ54" i="4"/>
  <c r="BA54" i="4" s="1"/>
  <c r="AJ34" i="4"/>
  <c r="BA34" i="4" s="1"/>
  <c r="AJ60" i="4"/>
  <c r="BA60" i="4" s="1"/>
  <c r="AJ88" i="4"/>
  <c r="BA88" i="4" s="1"/>
  <c r="AJ113" i="4"/>
  <c r="BA113" i="4" s="1"/>
  <c r="AJ21" i="4"/>
  <c r="BA21" i="4" s="1"/>
  <c r="AJ17" i="4"/>
  <c r="BA17" i="4" s="1"/>
  <c r="AJ22" i="4"/>
  <c r="BA22" i="4" s="1"/>
  <c r="AJ20" i="4"/>
  <c r="BA20" i="4" s="1"/>
  <c r="AJ19" i="4"/>
  <c r="BA19" i="4" s="1"/>
  <c r="AJ18" i="4"/>
  <c r="BA18" i="4" s="1"/>
  <c r="AJ14" i="4"/>
  <c r="AN14" i="4" s="1"/>
  <c r="AJ16" i="4"/>
  <c r="AN16" i="4" s="1"/>
  <c r="AJ15" i="4"/>
  <c r="AN15" i="4" s="1"/>
  <c r="AJ13" i="4"/>
  <c r="AN13" i="4" s="1"/>
  <c r="AJ12" i="4"/>
  <c r="AN12" i="4" s="1"/>
  <c r="AJ11" i="4"/>
  <c r="AN11" i="4" s="1"/>
  <c r="AJ5" i="4"/>
  <c r="AN5" i="4" s="1"/>
  <c r="AO9" i="4" l="1"/>
  <c r="AQ9" i="4"/>
  <c r="AS9" i="4"/>
  <c r="AP9" i="4"/>
  <c r="AU9" i="4"/>
  <c r="AN9" i="4"/>
  <c r="AV9" i="4"/>
  <c r="AR9" i="4"/>
  <c r="AS5" i="4"/>
  <c r="AQ5" i="4"/>
  <c r="AR13" i="4"/>
  <c r="AU13" i="4"/>
  <c r="AP13" i="4"/>
  <c r="AP12" i="4"/>
  <c r="AS13" i="4"/>
  <c r="AR15" i="4"/>
  <c r="AO5" i="4"/>
  <c r="BA5" i="4" s="1"/>
  <c r="AQ13" i="4"/>
  <c r="AU5" i="4"/>
  <c r="AO13" i="4"/>
  <c r="AS12" i="4"/>
  <c r="AV15" i="4"/>
  <c r="AO16" i="4"/>
  <c r="AS11" i="4"/>
  <c r="AO11" i="4"/>
  <c r="AT11" i="4"/>
  <c r="AQ11" i="4"/>
  <c r="AV11" i="4"/>
  <c r="AP11" i="4"/>
  <c r="AU11" i="4"/>
  <c r="AR11" i="4"/>
  <c r="BA9" i="4" l="1"/>
  <c r="BA16" i="4"/>
  <c r="BA15" i="4"/>
  <c r="BA14" i="4"/>
  <c r="BA13" i="4"/>
  <c r="BA12" i="4"/>
  <c r="BA11" i="4"/>
</calcChain>
</file>

<file path=xl/sharedStrings.xml><?xml version="1.0" encoding="utf-8"?>
<sst xmlns="http://schemas.openxmlformats.org/spreadsheetml/2006/main" count="44" uniqueCount="44">
  <si>
    <t>Grille d'évaluation</t>
  </si>
  <si>
    <t>Présentation de la grille d'évaluation</t>
  </si>
  <si>
    <t xml:space="preserve">Cette grille d'évaluation a pour but de vous aider dans votre notation. Elle est utilisée pour les évaluations dites "validante de blocs". 
Pour info : Les cellules en bleu et jaune sont vérouillées pour éviter les erreurs de saisies. </t>
  </si>
  <si>
    <t>Configuration</t>
  </si>
  <si>
    <t xml:space="preserve">Afin de faliciliter la notation par critères (liés au titre RNCP), vous devez appliquer un coefficient par modalité (colonne E ci-dessous). 
Vous pouvez ensuite modifier les critères de 1 à 5 dans la feuille "Grille d'évaluation" pour que cette grille d'évaluation soit en adéquation parfaite avec votre matière. 
La configuration est maintenant terminée, vous pouvez maintenant appliquer les notes à vos groupes en indiquant les étudiants membres de celui-ci. </t>
  </si>
  <si>
    <t>BLOC RNCP</t>
  </si>
  <si>
    <t>Matière</t>
  </si>
  <si>
    <t>Jury</t>
  </si>
  <si>
    <t>Formateur</t>
  </si>
  <si>
    <t>Modalité</t>
  </si>
  <si>
    <t>Critère</t>
  </si>
  <si>
    <t>Description</t>
  </si>
  <si>
    <t>Coeff.</t>
  </si>
  <si>
    <t>%</t>
  </si>
  <si>
    <t>Groupe</t>
  </si>
  <si>
    <t>Étudiants</t>
  </si>
  <si>
    <t>Notes de groupe</t>
  </si>
  <si>
    <t>Notes individuelles</t>
  </si>
  <si>
    <t>Total</t>
  </si>
  <si>
    <t>Avis formateur</t>
  </si>
  <si>
    <t>Points forts</t>
  </si>
  <si>
    <t>Points faibles</t>
  </si>
  <si>
    <t>Note individuelle</t>
  </si>
  <si>
    <t>Moy.</t>
  </si>
  <si>
    <t>Niveau d’expertise &amp; Défi technique</t>
  </si>
  <si>
    <r>
      <t xml:space="preserve">Qualité de la soutenance 
</t>
    </r>
    <r>
      <rPr>
        <sz val="10"/>
        <color rgb="FF000000"/>
        <rFont val="Calibri"/>
        <family val="2"/>
        <scheme val="minor"/>
      </rPr>
      <t>Visuels, textes, gestion globale du temps</t>
    </r>
  </si>
  <si>
    <r>
      <t xml:space="preserve">Cohésion du groupe
</t>
    </r>
    <r>
      <rPr>
        <sz val="10"/>
        <color rgb="FF000000"/>
        <rFont val="Calibri"/>
        <family val="2"/>
        <scheme val="minor"/>
      </rPr>
      <t>Organisation du temps de parole, homogénéité</t>
    </r>
  </si>
  <si>
    <t>Critères matière</t>
  </si>
  <si>
    <t>Complexité et réalisation de la tâche allouée</t>
  </si>
  <si>
    <r>
      <t xml:space="preserve">Contribution à la soutenance
</t>
    </r>
    <r>
      <rPr>
        <sz val="10"/>
        <color rgb="FF000000"/>
        <rFont val="Calibri"/>
        <family val="2"/>
        <scheme val="minor"/>
      </rPr>
      <t>Clareté, expression, apport au groupe</t>
    </r>
  </si>
  <si>
    <r>
      <t xml:space="preserve">Interaction avec le jury
</t>
    </r>
    <r>
      <rPr>
        <sz val="10"/>
        <color rgb="FF000000"/>
        <rFont val="Calibri"/>
        <family val="2"/>
        <scheme val="minor"/>
      </rPr>
      <t>Réponses et explications</t>
    </r>
  </si>
  <si>
    <r>
      <t xml:space="preserve">Bonus / Malus
</t>
    </r>
    <r>
      <rPr>
        <sz val="10"/>
        <color rgb="FF000000"/>
        <rFont val="Calibri"/>
        <family val="2"/>
        <scheme val="minor"/>
      </rPr>
      <t>Exploit, malhonnêteté, absence</t>
    </r>
  </si>
  <si>
    <t>Algorithmes</t>
  </si>
  <si>
    <t>Enjeux de sécurité</t>
  </si>
  <si>
    <t>Mise en production</t>
  </si>
  <si>
    <t>Adéquation avec le cas</t>
  </si>
  <si>
    <t>MIN</t>
  </si>
  <si>
    <t>MAX</t>
  </si>
  <si>
    <t>Le candidat automatise la mise en place de l'architecture.</t>
  </si>
  <si>
    <t>Le candidat produit les tests de sécurité adaptés à l'application et documente les anomalies identifiées.</t>
  </si>
  <si>
    <t>Le candidat préconise les outils de protection adaptés aux risques identifiés.</t>
  </si>
  <si>
    <t>Le candidat produit les documentations techniques et d'usages nécessaires au développement ultérieur de la solution.</t>
  </si>
  <si>
    <t>Le candidat définit un protocole de validation et élabore le cahier de recette.</t>
  </si>
  <si>
    <t>Introduction aux traitements distribués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</si>
</sst>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oef.&quot;\ 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0" tint="-0.249977111117893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B9BD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0" fillId="2" borderId="0" xfId="0" applyFill="1"/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3" borderId="27" xfId="0" applyFill="1" applyBorder="1" applyAlignment="1">
      <alignment horizontal="center"/>
    </xf>
    <xf numFmtId="9" fontId="0" fillId="3" borderId="21" xfId="1" applyFont="1" applyFill="1" applyBorder="1" applyAlignment="1">
      <alignment vertical="center"/>
    </xf>
    <xf numFmtId="0" fontId="0" fillId="4" borderId="26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vertical="top" wrapText="1"/>
    </xf>
    <xf numFmtId="0" fontId="0" fillId="6" borderId="22" xfId="0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vertical="top" wrapText="1"/>
    </xf>
    <xf numFmtId="0" fontId="4" fillId="6" borderId="6" xfId="0" applyFont="1" applyFill="1" applyBorder="1" applyAlignment="1">
      <alignment vertical="top" wrapText="1"/>
    </xf>
    <xf numFmtId="0" fontId="0" fillId="6" borderId="24" xfId="0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6" borderId="1" xfId="0" applyFill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0" fillId="6" borderId="1" xfId="0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9" fontId="0" fillId="3" borderId="46" xfId="1" applyFont="1" applyFill="1" applyBorder="1" applyAlignment="1">
      <alignment vertical="center"/>
    </xf>
    <xf numFmtId="0" fontId="2" fillId="4" borderId="45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2" fillId="4" borderId="47" xfId="0" applyFont="1" applyFill="1" applyBorder="1" applyAlignment="1">
      <alignment horizontal="left"/>
    </xf>
    <xf numFmtId="0" fontId="2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38" xfId="0" applyFill="1" applyBorder="1" applyAlignment="1" applyProtection="1">
      <alignment horizontal="center"/>
      <protection locked="0"/>
    </xf>
    <xf numFmtId="0" fontId="0" fillId="2" borderId="39" xfId="0" applyFill="1" applyBorder="1" applyAlignment="1" applyProtection="1">
      <alignment horizontal="center"/>
      <protection locked="0"/>
    </xf>
    <xf numFmtId="0" fontId="0" fillId="2" borderId="40" xfId="0" applyFill="1" applyBorder="1" applyAlignment="1" applyProtection="1">
      <alignment horizontal="center"/>
      <protection locked="0"/>
    </xf>
    <xf numFmtId="0" fontId="5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0" fillId="2" borderId="48" xfId="0" applyFill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9" fontId="5" fillId="0" borderId="4" xfId="1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9" fontId="5" fillId="0" borderId="7" xfId="1" applyFont="1" applyBorder="1" applyAlignment="1">
      <alignment horizontal="center" vertical="center" wrapText="1"/>
    </xf>
    <xf numFmtId="9" fontId="5" fillId="0" borderId="5" xfId="1" applyFont="1" applyBorder="1" applyAlignment="1">
      <alignment horizontal="center" vertical="center" wrapText="1"/>
    </xf>
    <xf numFmtId="9" fontId="5" fillId="0" borderId="51" xfId="1" applyFont="1" applyBorder="1" applyAlignment="1">
      <alignment horizontal="center" vertical="center" wrapText="1"/>
    </xf>
    <xf numFmtId="9" fontId="5" fillId="0" borderId="12" xfId="1" applyFont="1" applyBorder="1" applyAlignment="1">
      <alignment horizontal="center" vertical="center" wrapText="1"/>
    </xf>
    <xf numFmtId="9" fontId="5" fillId="0" borderId="6" xfId="1" applyFont="1" applyBorder="1" applyAlignment="1">
      <alignment horizontal="center" vertical="center" wrapText="1"/>
    </xf>
    <xf numFmtId="9" fontId="5" fillId="0" borderId="18" xfId="1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9" fontId="5" fillId="0" borderId="16" xfId="1" applyFont="1" applyBorder="1" applyAlignment="1">
      <alignment horizontal="center" vertical="center" wrapText="1"/>
    </xf>
    <xf numFmtId="9" fontId="5" fillId="0" borderId="45" xfId="1" applyFont="1" applyBorder="1" applyAlignment="1">
      <alignment horizontal="center" vertical="center" wrapText="1"/>
    </xf>
    <xf numFmtId="9" fontId="5" fillId="0" borderId="10" xfId="1" applyFont="1" applyBorder="1" applyAlignment="1">
      <alignment horizontal="center" vertical="center" wrapText="1"/>
    </xf>
    <xf numFmtId="9" fontId="5" fillId="0" borderId="22" xfId="1" applyFont="1" applyBorder="1" applyAlignment="1">
      <alignment horizontal="center" vertical="center" wrapText="1"/>
    </xf>
    <xf numFmtId="9" fontId="5" fillId="0" borderId="24" xfId="1" applyFont="1" applyBorder="1" applyAlignment="1">
      <alignment horizontal="center" vertical="center" wrapText="1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5" fillId="3" borderId="2" xfId="0" applyFont="1" applyFill="1" applyBorder="1" applyAlignment="1">
      <alignment horizontal="center" vertical="center" wrapText="1"/>
    </xf>
    <xf numFmtId="9" fontId="15" fillId="3" borderId="3" xfId="1" applyFont="1" applyFill="1" applyBorder="1" applyAlignment="1">
      <alignment vertical="center"/>
    </xf>
    <xf numFmtId="0" fontId="16" fillId="2" borderId="0" xfId="0" applyFont="1" applyFill="1" applyAlignment="1">
      <alignment horizontal="center"/>
    </xf>
    <xf numFmtId="0" fontId="8" fillId="8" borderId="46" xfId="0" applyFont="1" applyFill="1" applyBorder="1" applyAlignment="1">
      <alignment horizontal="center" vertical="center" wrapText="1"/>
    </xf>
    <xf numFmtId="9" fontId="5" fillId="0" borderId="17" xfId="1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164" fontId="13" fillId="8" borderId="24" xfId="0" applyNumberFormat="1" applyFont="1" applyFill="1" applyBorder="1" applyAlignment="1">
      <alignment horizontal="center" vertical="center" wrapText="1"/>
    </xf>
    <xf numFmtId="164" fontId="13" fillId="8" borderId="7" xfId="0" applyNumberFormat="1" applyFont="1" applyFill="1" applyBorder="1" applyAlignment="1">
      <alignment horizontal="center" vertical="center" wrapText="1"/>
    </xf>
    <xf numFmtId="164" fontId="13" fillId="5" borderId="7" xfId="0" applyNumberFormat="1" applyFont="1" applyFill="1" applyBorder="1" applyAlignment="1">
      <alignment horizontal="center" vertical="center" wrapText="1"/>
    </xf>
    <xf numFmtId="164" fontId="13" fillId="5" borderId="25" xfId="0" applyNumberFormat="1" applyFont="1" applyFill="1" applyBorder="1" applyAlignment="1">
      <alignment horizontal="center" vertical="center" wrapText="1"/>
    </xf>
    <xf numFmtId="164" fontId="13" fillId="8" borderId="18" xfId="0" applyNumberFormat="1" applyFont="1" applyFill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9" fontId="5" fillId="0" borderId="19" xfId="1" applyFont="1" applyBorder="1" applyAlignment="1">
      <alignment horizontal="center" vertical="center" wrapText="1"/>
    </xf>
    <xf numFmtId="9" fontId="5" fillId="0" borderId="47" xfId="1" applyFont="1" applyBorder="1" applyAlignment="1">
      <alignment horizontal="center" vertical="center" wrapText="1"/>
    </xf>
    <xf numFmtId="9" fontId="5" fillId="0" borderId="23" xfId="1" applyFont="1" applyBorder="1" applyAlignment="1">
      <alignment horizontal="center" vertical="center" wrapText="1"/>
    </xf>
    <xf numFmtId="9" fontId="5" fillId="0" borderId="25" xfId="1" applyFont="1" applyBorder="1" applyAlignment="1">
      <alignment horizontal="center" vertical="center" wrapText="1"/>
    </xf>
    <xf numFmtId="9" fontId="5" fillId="0" borderId="20" xfId="1" applyFont="1" applyBorder="1" applyAlignment="1">
      <alignment horizontal="center" vertical="center" wrapText="1"/>
    </xf>
    <xf numFmtId="164" fontId="13" fillId="8" borderId="16" xfId="0" applyNumberFormat="1" applyFont="1" applyFill="1" applyBorder="1" applyAlignment="1">
      <alignment horizontal="center" vertical="center" wrapText="1"/>
    </xf>
    <xf numFmtId="164" fontId="13" fillId="5" borderId="24" xfId="0" applyNumberFormat="1" applyFont="1" applyFill="1" applyBorder="1" applyAlignment="1">
      <alignment horizontal="center" vertical="center" wrapText="1"/>
    </xf>
    <xf numFmtId="9" fontId="5" fillId="0" borderId="2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1" xfId="1" applyNumberFormat="1" applyFont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/>
    </xf>
    <xf numFmtId="0" fontId="0" fillId="11" borderId="4" xfId="0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5" fillId="0" borderId="7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9" fontId="0" fillId="2" borderId="23" xfId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 vertical="center"/>
    </xf>
    <xf numFmtId="9" fontId="0" fillId="2" borderId="12" xfId="1" applyFont="1" applyFill="1" applyBorder="1" applyAlignment="1">
      <alignment horizontal="center" vertical="center"/>
    </xf>
    <xf numFmtId="9" fontId="0" fillId="2" borderId="17" xfId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textRotation="90"/>
    </xf>
    <xf numFmtId="0" fontId="15" fillId="12" borderId="3" xfId="0" applyFont="1" applyFill="1" applyBorder="1" applyAlignment="1">
      <alignment horizontal="center" vertical="center" textRotation="90"/>
    </xf>
    <xf numFmtId="0" fontId="15" fillId="12" borderId="8" xfId="0" applyFont="1" applyFill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8" borderId="52" xfId="0" applyFont="1" applyFill="1" applyBorder="1" applyAlignment="1">
      <alignment horizontal="center" vertical="center" wrapText="1"/>
    </xf>
    <xf numFmtId="0" fontId="8" fillId="8" borderId="26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8" fillId="8" borderId="56" xfId="0" applyFont="1" applyFill="1" applyBorder="1" applyAlignment="1">
      <alignment horizontal="center" vertical="center" wrapText="1"/>
    </xf>
    <xf numFmtId="0" fontId="8" fillId="8" borderId="53" xfId="0" applyFont="1" applyFill="1" applyBorder="1" applyAlignment="1">
      <alignment horizontal="center" vertical="center" wrapText="1"/>
    </xf>
    <xf numFmtId="0" fontId="8" fillId="8" borderId="46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63" xfId="0" applyFont="1" applyFill="1" applyBorder="1" applyAlignment="1">
      <alignment horizontal="center" vertical="center" wrapText="1"/>
    </xf>
    <xf numFmtId="0" fontId="8" fillId="8" borderId="27" xfId="0" applyFont="1" applyFill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17" fillId="7" borderId="60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18" fillId="9" borderId="62" xfId="0" applyFont="1" applyFill="1" applyBorder="1" applyAlignment="1">
      <alignment horizontal="center" vertical="center" wrapText="1"/>
    </xf>
    <xf numFmtId="0" fontId="18" fillId="9" borderId="60" xfId="0" applyFont="1" applyFill="1" applyBorder="1" applyAlignment="1">
      <alignment horizontal="center" vertical="center" wrapText="1"/>
    </xf>
    <xf numFmtId="0" fontId="18" fillId="9" borderId="69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7" fillId="7" borderId="47" xfId="0" applyFont="1" applyFill="1" applyBorder="1" applyAlignment="1">
      <alignment horizontal="center" vertical="center" wrapText="1"/>
    </xf>
    <xf numFmtId="0" fontId="8" fillId="8" borderId="55" xfId="0" applyFont="1" applyFill="1" applyBorder="1" applyAlignment="1">
      <alignment horizontal="center" vertical="center" wrapText="1"/>
    </xf>
    <xf numFmtId="0" fontId="8" fillId="8" borderId="6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textRotation="90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67" xfId="0" applyFont="1" applyFill="1" applyBorder="1" applyAlignment="1">
      <alignment horizontal="center" vertical="center" wrapText="1"/>
    </xf>
    <xf numFmtId="0" fontId="8" fillId="8" borderId="66" xfId="0" applyFont="1" applyFill="1" applyBorder="1" applyAlignment="1">
      <alignment horizontal="center" vertical="center" wrapText="1"/>
    </xf>
    <xf numFmtId="0" fontId="8" fillId="8" borderId="68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6" borderId="30" xfId="0" applyFill="1" applyBorder="1" applyAlignment="1">
      <alignment horizontal="left"/>
    </xf>
    <xf numFmtId="0" fontId="0" fillId="6" borderId="31" xfId="0" applyFill="1" applyBorder="1" applyAlignment="1">
      <alignment horizontal="left"/>
    </xf>
    <xf numFmtId="0" fontId="0" fillId="6" borderId="32" xfId="0" applyFill="1" applyBorder="1" applyAlignment="1">
      <alignment horizontal="left"/>
    </xf>
    <xf numFmtId="0" fontId="0" fillId="2" borderId="33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2" borderId="34" xfId="0" applyFill="1" applyBorder="1" applyAlignment="1">
      <alignment horizontal="left" vertical="top"/>
    </xf>
    <xf numFmtId="0" fontId="0" fillId="2" borderId="35" xfId="0" applyFill="1" applyBorder="1" applyAlignment="1">
      <alignment horizontal="left" vertical="top"/>
    </xf>
    <xf numFmtId="0" fontId="0" fillId="2" borderId="36" xfId="0" applyFill="1" applyBorder="1" applyAlignment="1">
      <alignment horizontal="left" vertical="top"/>
    </xf>
    <xf numFmtId="0" fontId="0" fillId="2" borderId="37" xfId="0" applyFill="1" applyBorder="1" applyAlignment="1">
      <alignment horizontal="left" vertical="top"/>
    </xf>
    <xf numFmtId="0" fontId="0" fillId="2" borderId="30" xfId="0" applyFill="1" applyBorder="1" applyAlignment="1">
      <alignment horizontal="left" vertical="top" wrapText="1"/>
    </xf>
    <xf numFmtId="0" fontId="0" fillId="2" borderId="31" xfId="0" applyFill="1" applyBorder="1" applyAlignment="1">
      <alignment horizontal="left" vertical="top" wrapText="1"/>
    </xf>
    <xf numFmtId="0" fontId="0" fillId="2" borderId="32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34" xfId="0" applyFill="1" applyBorder="1" applyAlignment="1">
      <alignment horizontal="left" vertical="top" wrapText="1"/>
    </xf>
    <xf numFmtId="0" fontId="0" fillId="2" borderId="35" xfId="0" applyFill="1" applyBorder="1" applyAlignment="1">
      <alignment horizontal="left" vertical="top" wrapText="1"/>
    </xf>
    <xf numFmtId="0" fontId="0" fillId="2" borderId="36" xfId="0" applyFill="1" applyBorder="1" applyAlignment="1">
      <alignment horizontal="left" vertical="top" wrapText="1"/>
    </xf>
    <xf numFmtId="0" fontId="0" fillId="2" borderId="37" xfId="0" applyFill="1" applyBorder="1" applyAlignment="1">
      <alignment horizontal="left" vertical="top" wrapText="1"/>
    </xf>
    <xf numFmtId="0" fontId="0" fillId="4" borderId="49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2">
    <dxf>
      <fill>
        <patternFill>
          <bgColor rgb="FF6DE98B"/>
        </patternFill>
      </fill>
    </dxf>
    <dxf>
      <fill>
        <patternFill>
          <bgColor rgb="FFE26F54"/>
        </patternFill>
      </fill>
    </dxf>
  </dxfs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59055</xdr:colOff>
      <xdr:row>4</xdr:row>
      <xdr:rowOff>152400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AEFE961-85B5-8A9C-34D8-CD1BD2945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90500"/>
          <a:ext cx="10572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FE05-EA91-4C55-8E8E-ABFD943D7EFF}">
  <dimension ref="B5:F42"/>
  <sheetViews>
    <sheetView topLeftCell="A18" workbookViewId="0">
      <selection activeCell="E33" sqref="E33"/>
    </sheetView>
  </sheetViews>
  <sheetFormatPr baseColWidth="10" defaultColWidth="10.6328125" defaultRowHeight="15" customHeight="1" x14ac:dyDescent="0.35"/>
  <cols>
    <col min="1" max="1" width="4.36328125" style="1" customWidth="1"/>
    <col min="2" max="2" width="8.36328125" style="1" bestFit="1" customWidth="1"/>
    <col min="3" max="3" width="6.453125" style="1" bestFit="1" customWidth="1"/>
    <col min="4" max="4" width="69.36328125" style="1" customWidth="1"/>
    <col min="5" max="5" width="6" style="1" bestFit="1" customWidth="1"/>
    <col min="6" max="6" width="4.81640625" style="1" hidden="1" customWidth="1"/>
    <col min="7" max="16384" width="10.6328125" style="1"/>
  </cols>
  <sheetData>
    <row r="5" spans="2:4" ht="15" customHeight="1" thickBot="1" x14ac:dyDescent="0.4"/>
    <row r="6" spans="2:4" ht="15" customHeight="1" x14ac:dyDescent="0.35">
      <c r="B6" s="159" t="s">
        <v>0</v>
      </c>
      <c r="C6" s="160"/>
      <c r="D6" s="161"/>
    </row>
    <row r="7" spans="2:4" thickBot="1" x14ac:dyDescent="0.4">
      <c r="B7" s="162"/>
      <c r="C7" s="163"/>
      <c r="D7" s="164"/>
    </row>
    <row r="8" spans="2:4" ht="14.25" customHeight="1" thickBot="1" x14ac:dyDescent="0.4"/>
    <row r="9" spans="2:4" ht="14.5" x14ac:dyDescent="0.35">
      <c r="B9" s="171" t="s">
        <v>1</v>
      </c>
      <c r="C9" s="172"/>
      <c r="D9" s="173"/>
    </row>
    <row r="10" spans="2:4" ht="14.5" x14ac:dyDescent="0.35">
      <c r="B10" s="174" t="s">
        <v>2</v>
      </c>
      <c r="C10" s="175"/>
      <c r="D10" s="176"/>
    </row>
    <row r="11" spans="2:4" ht="14.5" x14ac:dyDescent="0.35">
      <c r="B11" s="174"/>
      <c r="C11" s="175"/>
      <c r="D11" s="176"/>
    </row>
    <row r="12" spans="2:4" ht="14.5" x14ac:dyDescent="0.35">
      <c r="B12" s="174"/>
      <c r="C12" s="175"/>
      <c r="D12" s="176"/>
    </row>
    <row r="13" spans="2:4" thickBot="1" x14ac:dyDescent="0.4">
      <c r="B13" s="177"/>
      <c r="C13" s="178"/>
      <c r="D13" s="179"/>
    </row>
    <row r="14" spans="2:4" thickBot="1" x14ac:dyDescent="0.4">
      <c r="B14" s="26"/>
      <c r="C14" s="26"/>
      <c r="D14" s="26"/>
    </row>
    <row r="15" spans="2:4" thickBot="1" x14ac:dyDescent="0.4">
      <c r="B15" s="171" t="s">
        <v>3</v>
      </c>
      <c r="C15" s="172"/>
      <c r="D15" s="173"/>
    </row>
    <row r="16" spans="2:4" ht="15" customHeight="1" x14ac:dyDescent="0.35">
      <c r="B16" s="180" t="s">
        <v>4</v>
      </c>
      <c r="C16" s="181"/>
      <c r="D16" s="182"/>
    </row>
    <row r="17" spans="2:6" ht="14.5" x14ac:dyDescent="0.35">
      <c r="B17" s="174"/>
      <c r="C17" s="183"/>
      <c r="D17" s="184"/>
    </row>
    <row r="18" spans="2:6" ht="14.5" x14ac:dyDescent="0.35">
      <c r="B18" s="174"/>
      <c r="C18" s="183"/>
      <c r="D18" s="184"/>
    </row>
    <row r="19" spans="2:6" ht="14.5" x14ac:dyDescent="0.35">
      <c r="B19" s="174"/>
      <c r="C19" s="183"/>
      <c r="D19" s="184"/>
    </row>
    <row r="20" spans="2:6" ht="14.5" x14ac:dyDescent="0.35">
      <c r="B20" s="174"/>
      <c r="C20" s="183"/>
      <c r="D20" s="184"/>
    </row>
    <row r="21" spans="2:6" ht="14.5" x14ac:dyDescent="0.35">
      <c r="B21" s="174"/>
      <c r="C21" s="183"/>
      <c r="D21" s="184"/>
    </row>
    <row r="22" spans="2:6" ht="14.5" x14ac:dyDescent="0.35">
      <c r="B22" s="174"/>
      <c r="C22" s="183"/>
      <c r="D22" s="184"/>
    </row>
    <row r="23" spans="2:6" thickBot="1" x14ac:dyDescent="0.4">
      <c r="B23" s="185"/>
      <c r="C23" s="186"/>
      <c r="D23" s="187"/>
    </row>
    <row r="24" spans="2:6" thickBot="1" x14ac:dyDescent="0.4"/>
    <row r="25" spans="2:6" ht="14.5" x14ac:dyDescent="0.35">
      <c r="B25" s="165" t="s">
        <v>5</v>
      </c>
      <c r="C25" s="166"/>
      <c r="D25" s="37">
        <v>5</v>
      </c>
    </row>
    <row r="26" spans="2:6" ht="14.5" x14ac:dyDescent="0.35">
      <c r="B26" s="167" t="s">
        <v>6</v>
      </c>
      <c r="C26" s="168"/>
      <c r="D26" s="38" t="s">
        <v>43</v>
      </c>
    </row>
    <row r="27" spans="2:6" ht="14.5" x14ac:dyDescent="0.35">
      <c r="B27" s="188" t="s">
        <v>7</v>
      </c>
      <c r="C27" s="189"/>
      <c r="D27" s="44"/>
    </row>
    <row r="28" spans="2:6" thickBot="1" x14ac:dyDescent="0.4">
      <c r="B28" s="169" t="s">
        <v>8</v>
      </c>
      <c r="C28" s="170"/>
      <c r="D28" s="39"/>
    </row>
    <row r="29" spans="2:6" thickBot="1" x14ac:dyDescent="0.4"/>
    <row r="30" spans="2:6" thickBot="1" x14ac:dyDescent="0.4">
      <c r="B30" s="32" t="s">
        <v>9</v>
      </c>
      <c r="C30" s="34" t="s">
        <v>10</v>
      </c>
      <c r="D30" s="33" t="s">
        <v>11</v>
      </c>
      <c r="E30" s="12" t="s">
        <v>12</v>
      </c>
      <c r="F30" s="10" t="s">
        <v>13</v>
      </c>
    </row>
    <row r="31" spans="2:6" ht="14.5" x14ac:dyDescent="0.35">
      <c r="B31" s="16">
        <v>1</v>
      </c>
      <c r="C31" s="17">
        <v>1</v>
      </c>
      <c r="D31" s="18" t="s">
        <v>38</v>
      </c>
      <c r="E31" s="13">
        <v>2</v>
      </c>
      <c r="F31" s="11">
        <f t="shared" ref="F31:F42" si="0">IF(E31&lt;&gt;"",E31/SUM(E$31:E$42),"")</f>
        <v>0.25</v>
      </c>
    </row>
    <row r="32" spans="2:6" ht="29" x14ac:dyDescent="0.35">
      <c r="B32" s="19">
        <v>1</v>
      </c>
      <c r="C32" s="20">
        <v>2</v>
      </c>
      <c r="D32" s="21" t="s">
        <v>39</v>
      </c>
      <c r="E32" s="14">
        <v>2</v>
      </c>
      <c r="F32" s="11">
        <f t="shared" si="0"/>
        <v>0.25</v>
      </c>
    </row>
    <row r="33" spans="2:6" ht="14.5" x14ac:dyDescent="0.35">
      <c r="B33" s="19">
        <v>1</v>
      </c>
      <c r="C33" s="20">
        <v>3</v>
      </c>
      <c r="D33" s="22" t="s">
        <v>40</v>
      </c>
      <c r="E33" s="14">
        <v>2</v>
      </c>
      <c r="F33" s="11">
        <f t="shared" si="0"/>
        <v>0.25</v>
      </c>
    </row>
    <row r="34" spans="2:6" ht="29" x14ac:dyDescent="0.35">
      <c r="B34" s="19">
        <v>1</v>
      </c>
      <c r="C34" s="20">
        <v>4</v>
      </c>
      <c r="D34" s="21" t="s">
        <v>41</v>
      </c>
      <c r="E34" s="14">
        <v>1</v>
      </c>
      <c r="F34" s="11">
        <f t="shared" si="0"/>
        <v>0.125</v>
      </c>
    </row>
    <row r="35" spans="2:6" ht="14.5" x14ac:dyDescent="0.35">
      <c r="B35" s="19">
        <v>1</v>
      </c>
      <c r="C35" s="20">
        <v>5</v>
      </c>
      <c r="D35" s="21" t="s">
        <v>42</v>
      </c>
      <c r="E35" s="14">
        <v>1</v>
      </c>
      <c r="F35" s="11">
        <f t="shared" si="0"/>
        <v>0.125</v>
      </c>
    </row>
    <row r="36" spans="2:6" ht="14.5" x14ac:dyDescent="0.35">
      <c r="B36" s="19"/>
      <c r="C36" s="20"/>
      <c r="D36" s="21"/>
      <c r="E36" s="14"/>
      <c r="F36" s="11" t="str">
        <f t="shared" si="0"/>
        <v/>
      </c>
    </row>
    <row r="37" spans="2:6" ht="14.5" x14ac:dyDescent="0.35">
      <c r="B37" s="19"/>
      <c r="C37" s="20"/>
      <c r="D37" s="22"/>
      <c r="E37" s="14"/>
      <c r="F37" s="11" t="str">
        <f t="shared" si="0"/>
        <v/>
      </c>
    </row>
    <row r="38" spans="2:6" ht="14.5" x14ac:dyDescent="0.35">
      <c r="B38" s="19"/>
      <c r="C38" s="20"/>
      <c r="D38" s="21"/>
      <c r="E38" s="14"/>
      <c r="F38" s="11" t="str">
        <f t="shared" si="0"/>
        <v/>
      </c>
    </row>
    <row r="39" spans="2:6" ht="14.5" x14ac:dyDescent="0.35">
      <c r="B39" s="19"/>
      <c r="C39" s="20"/>
      <c r="D39" s="21"/>
      <c r="E39" s="14"/>
      <c r="F39" s="11" t="str">
        <f t="shared" si="0"/>
        <v/>
      </c>
    </row>
    <row r="40" spans="2:6" ht="14.25" customHeight="1" x14ac:dyDescent="0.35">
      <c r="B40" s="19"/>
      <c r="C40" s="20"/>
      <c r="D40" s="21"/>
      <c r="E40" s="14"/>
      <c r="F40" s="11" t="str">
        <f t="shared" si="0"/>
        <v/>
      </c>
    </row>
    <row r="41" spans="2:6" ht="14.25" customHeight="1" x14ac:dyDescent="0.35">
      <c r="B41" s="19"/>
      <c r="C41" s="20"/>
      <c r="D41" s="21"/>
      <c r="E41" s="14"/>
      <c r="F41" s="11" t="str">
        <f t="shared" si="0"/>
        <v/>
      </c>
    </row>
    <row r="42" spans="2:6" thickBot="1" x14ac:dyDescent="0.4">
      <c r="B42" s="23"/>
      <c r="C42" s="24"/>
      <c r="D42" s="25"/>
      <c r="E42" s="15"/>
      <c r="F42" s="31" t="str">
        <f t="shared" si="0"/>
        <v/>
      </c>
    </row>
  </sheetData>
  <protectedRanges>
    <protectedRange sqref="E31:E42" name="Plage1"/>
  </protectedRanges>
  <mergeCells count="9">
    <mergeCell ref="B6:D7"/>
    <mergeCell ref="B25:C25"/>
    <mergeCell ref="B26:C26"/>
    <mergeCell ref="B28:C28"/>
    <mergeCell ref="B9:D9"/>
    <mergeCell ref="B10:D13"/>
    <mergeCell ref="B15:D15"/>
    <mergeCell ref="B16:D23"/>
    <mergeCell ref="B27:C27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8C0A-478B-44EE-A870-426AD23AE6D6}">
  <dimension ref="A1:BA124"/>
  <sheetViews>
    <sheetView tabSelected="1" zoomScale="107" zoomScaleNormal="115" workbookViewId="0">
      <pane xSplit="2" ySplit="4" topLeftCell="D5" activePane="bottomRight" state="frozen"/>
      <selection pane="topRight" activeCell="C1" sqref="C1"/>
      <selection pane="bottomLeft" activeCell="A6" sqref="A6"/>
      <selection pane="bottomRight" activeCell="I5" sqref="I5"/>
    </sheetView>
  </sheetViews>
  <sheetFormatPr baseColWidth="10" defaultColWidth="10.6328125" defaultRowHeight="15" customHeight="1" x14ac:dyDescent="0.35"/>
  <cols>
    <col min="1" max="1" width="6.81640625" style="1" customWidth="1"/>
    <col min="2" max="3" width="23.36328125" style="1" customWidth="1"/>
    <col min="4" max="4" width="24.36328125" style="1" customWidth="1"/>
    <col min="5" max="5" width="21.453125" style="1" customWidth="1"/>
    <col min="6" max="6" width="14.6328125" style="1" customWidth="1"/>
    <col min="7" max="7" width="8.6328125" style="1" bestFit="1" customWidth="1"/>
    <col min="8" max="8" width="13.6328125" style="1" customWidth="1"/>
    <col min="9" max="9" width="10.453125" style="1" customWidth="1"/>
    <col min="10" max="12" width="8.6328125" style="1" hidden="1" customWidth="1"/>
    <col min="13" max="13" width="8.36328125" style="1" hidden="1" customWidth="1"/>
    <col min="14" max="14" width="23.6328125" style="1" customWidth="1"/>
    <col min="15" max="15" width="18.453125" style="1" customWidth="1"/>
    <col min="16" max="16" width="20" style="1" bestFit="1" customWidth="1"/>
    <col min="17" max="17" width="18.453125" style="1" bestFit="1" customWidth="1"/>
    <col min="18" max="18" width="8" style="1" customWidth="1"/>
    <col min="19" max="19" width="18.36328125" style="1" customWidth="1"/>
    <col min="20" max="20" width="26.81640625" style="1" customWidth="1"/>
    <col min="21" max="21" width="46.36328125" style="43" customWidth="1"/>
    <col min="22" max="22" width="3.453125" style="1" customWidth="1"/>
    <col min="23" max="23" width="11.453125" style="1" hidden="1" customWidth="1"/>
    <col min="24" max="24" width="7.81640625" style="1" hidden="1" customWidth="1"/>
    <col min="25" max="35" width="6.6328125" style="1" hidden="1" customWidth="1"/>
    <col min="36" max="36" width="8.453125" style="1" hidden="1" customWidth="1"/>
    <col min="37" max="37" width="10.6328125" style="1" hidden="1" customWidth="1"/>
    <col min="38" max="38" width="4.81640625" style="28" hidden="1" customWidth="1"/>
    <col min="39" max="39" width="5.1796875" style="28" hidden="1" customWidth="1"/>
    <col min="40" max="40" width="11.6328125" style="1" bestFit="1" customWidth="1"/>
    <col min="41" max="52" width="6" style="1" customWidth="1"/>
    <col min="53" max="53" width="6.81640625" style="35" customWidth="1"/>
    <col min="54" max="16384" width="10.6328125" style="1"/>
  </cols>
  <sheetData>
    <row r="1" spans="1:53" s="63" customFormat="1" ht="15" customHeight="1" thickBot="1" x14ac:dyDescent="0.35">
      <c r="A1" s="115" t="s">
        <v>14</v>
      </c>
      <c r="B1" s="125" t="s">
        <v>15</v>
      </c>
      <c r="C1" s="127" t="s">
        <v>16</v>
      </c>
      <c r="D1" s="128"/>
      <c r="E1" s="128"/>
      <c r="F1" s="129"/>
      <c r="G1" s="129"/>
      <c r="H1" s="129"/>
      <c r="I1" s="129"/>
      <c r="J1" s="129"/>
      <c r="K1" s="129"/>
      <c r="L1" s="129"/>
      <c r="M1" s="129"/>
      <c r="N1" s="136" t="s">
        <v>17</v>
      </c>
      <c r="O1" s="137"/>
      <c r="P1" s="137"/>
      <c r="Q1" s="138"/>
      <c r="R1" s="139" t="s">
        <v>18</v>
      </c>
      <c r="S1" s="147" t="s">
        <v>19</v>
      </c>
      <c r="T1" s="145" t="s">
        <v>20</v>
      </c>
      <c r="U1" s="125" t="s">
        <v>21</v>
      </c>
      <c r="W1" s="142" t="s">
        <v>22</v>
      </c>
      <c r="X1" s="141" t="str">
        <f>IF(ISBLANK('Accueil RNCP'!D31),"N.C.",_xlfn.CONCAT("Critère ",'Accueil RNCP'!$B$31,".",'Accueil RNCP'!$C$31))</f>
        <v>Critère 1.1</v>
      </c>
      <c r="Y1" s="141" t="str">
        <f>IF(ISBLANK('Accueil RNCP'!D32),"N.C.",_xlfn.CONCAT("Critère ",'Accueil RNCP'!$B$32,".",'Accueil RNCP'!$C$32))</f>
        <v>Critère 1.2</v>
      </c>
      <c r="Z1" s="141" t="str">
        <f>IF(ISBLANK('Accueil RNCP'!D33),"N.C.",_xlfn.CONCAT("Critère ",'Accueil RNCP'!$B$33,".",'Accueil RNCP'!$C$33))</f>
        <v>Critère 1.3</v>
      </c>
      <c r="AA1" s="141" t="str">
        <f>IF(ISBLANK('Accueil RNCP'!D34),"N.C.",_xlfn.CONCAT("Critère ",'Accueil RNCP'!$B$34,".",'Accueil RNCP'!$C$34))</f>
        <v>Critère 1.4</v>
      </c>
      <c r="AB1" s="141" t="str">
        <f>IF(ISBLANK('Accueil RNCP'!D35),"N.C.",_xlfn.CONCAT("Critère ",'Accueil RNCP'!$B$35,".",'Accueil RNCP'!$C$35))</f>
        <v>Critère 1.5</v>
      </c>
      <c r="AC1" s="141" t="str">
        <f>IF(ISBLANK('Accueil RNCP'!D36),"N.C.",_xlfn.CONCAT("Critère ",'Accueil RNCP'!$B$36,".",'Accueil RNCP'!$C$36))</f>
        <v>N.C.</v>
      </c>
      <c r="AD1" s="141" t="str">
        <f>IF(ISBLANK('Accueil RNCP'!D37),"N.C.",_xlfn.CONCAT("Critère ",'Accueil RNCP'!$B$37,".",'Accueil RNCP'!$C$37))</f>
        <v>N.C.</v>
      </c>
      <c r="AE1" s="141" t="str">
        <f>IF(ISBLANK('Accueil RNCP'!D38),"N.C.",_xlfn.CONCAT("Critère ",'Accueil RNCP'!$B$38,".",'Accueil RNCP'!$C$38))</f>
        <v>N.C.</v>
      </c>
      <c r="AF1" s="141" t="str">
        <f>IF(ISBLANK('Accueil RNCP'!D39),"N.C.",_xlfn.CONCAT("Critère ",'Accueil RNCP'!$B$39,".",'Accueil RNCP'!$C$39))</f>
        <v>N.C.</v>
      </c>
      <c r="AG1" s="141" t="str">
        <f>IF(ISBLANK('Accueil RNCP'!D40),"N.C.",_xlfn.CONCAT("Critère ",'Accueil RNCP'!$B$40,".",'Accueil RNCP'!$C$40))</f>
        <v>N.C.</v>
      </c>
      <c r="AH1" s="141" t="str">
        <f>IF(ISBLANK('Accueil RNCP'!D41),"N.C.",_xlfn.CONCAT("Critère ",'Accueil RNCP'!$B$41,".",'Accueil RNCP'!$C$41))</f>
        <v>N.C.</v>
      </c>
      <c r="AI1" s="141" t="str">
        <f>IF(ISBLANK('Accueil RNCP'!D42),"N.C.",_xlfn.CONCAT("Critère ",'Accueil RNCP'!$B$42,".",'Accueil RNCP'!$C$42))</f>
        <v>N.C.</v>
      </c>
      <c r="AJ1" s="156" t="s">
        <v>23</v>
      </c>
      <c r="AL1" s="64"/>
      <c r="AM1" s="64"/>
      <c r="AN1" s="150" t="str">
        <f>W1</f>
        <v>Note individuelle</v>
      </c>
      <c r="AO1" s="109" t="str">
        <f>X1</f>
        <v>Critère 1.1</v>
      </c>
      <c r="AP1" s="109" t="str">
        <f t="shared" ref="AP1:AZ1" si="0">Y1</f>
        <v>Critère 1.2</v>
      </c>
      <c r="AQ1" s="109" t="str">
        <f t="shared" si="0"/>
        <v>Critère 1.3</v>
      </c>
      <c r="AR1" s="109" t="str">
        <f t="shared" si="0"/>
        <v>Critère 1.4</v>
      </c>
      <c r="AS1" s="109" t="str">
        <f t="shared" si="0"/>
        <v>Critère 1.5</v>
      </c>
      <c r="AT1" s="109" t="str">
        <f t="shared" si="0"/>
        <v>N.C.</v>
      </c>
      <c r="AU1" s="109" t="str">
        <f t="shared" si="0"/>
        <v>N.C.</v>
      </c>
      <c r="AV1" s="109" t="str">
        <f t="shared" si="0"/>
        <v>N.C.</v>
      </c>
      <c r="AW1" s="109" t="str">
        <f t="shared" si="0"/>
        <v>N.C.</v>
      </c>
      <c r="AX1" s="109" t="str">
        <f t="shared" si="0"/>
        <v>N.C.</v>
      </c>
      <c r="AY1" s="109" t="str">
        <f t="shared" si="0"/>
        <v>N.C.</v>
      </c>
      <c r="AZ1" s="109" t="str">
        <f t="shared" si="0"/>
        <v>N.C.</v>
      </c>
      <c r="BA1" s="150" t="str">
        <f>AJ1</f>
        <v>Moy.</v>
      </c>
    </row>
    <row r="2" spans="1:53" s="63" customFormat="1" ht="53.25" customHeight="1" thickBot="1" x14ac:dyDescent="0.35">
      <c r="A2" s="115"/>
      <c r="B2" s="125"/>
      <c r="C2" s="132" t="s">
        <v>24</v>
      </c>
      <c r="D2" s="130" t="s">
        <v>25</v>
      </c>
      <c r="E2" s="131" t="s">
        <v>26</v>
      </c>
      <c r="F2" s="133" t="s">
        <v>27</v>
      </c>
      <c r="G2" s="134"/>
      <c r="H2" s="134"/>
      <c r="I2" s="134"/>
      <c r="J2" s="134"/>
      <c r="K2" s="134"/>
      <c r="L2" s="134"/>
      <c r="M2" s="135"/>
      <c r="N2" s="124" t="s">
        <v>28</v>
      </c>
      <c r="O2" s="124" t="s">
        <v>29</v>
      </c>
      <c r="P2" s="130" t="s">
        <v>30</v>
      </c>
      <c r="Q2" s="120" t="s">
        <v>31</v>
      </c>
      <c r="R2" s="139"/>
      <c r="S2" s="148"/>
      <c r="T2" s="146"/>
      <c r="U2" s="120"/>
      <c r="W2" s="143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56"/>
      <c r="AL2" s="64"/>
      <c r="AM2" s="64"/>
      <c r="AN2" s="151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51"/>
    </row>
    <row r="3" spans="1:53" s="63" customFormat="1" ht="71.25" customHeight="1" thickBot="1" x14ac:dyDescent="0.35">
      <c r="A3" s="115"/>
      <c r="B3" s="125"/>
      <c r="C3" s="132"/>
      <c r="D3" s="130"/>
      <c r="E3" s="131"/>
      <c r="F3" s="95" t="s">
        <v>32</v>
      </c>
      <c r="G3" s="96" t="s">
        <v>33</v>
      </c>
      <c r="H3" s="96" t="s">
        <v>34</v>
      </c>
      <c r="I3" s="96" t="s">
        <v>35</v>
      </c>
      <c r="J3" s="96"/>
      <c r="K3" s="96"/>
      <c r="L3" s="96"/>
      <c r="M3" s="97"/>
      <c r="N3" s="124"/>
      <c r="O3" s="124"/>
      <c r="P3" s="130"/>
      <c r="Q3" s="121"/>
      <c r="R3" s="139"/>
      <c r="S3" s="148"/>
      <c r="T3" s="146"/>
      <c r="U3" s="120"/>
      <c r="W3" s="143"/>
      <c r="X3" s="66">
        <f>IF('Accueil RNCP'!E31&lt;&gt;"",'Accueil RNCP'!E31/SUM('Accueil RNCP'!E$31:E$42),"")</f>
        <v>0.25</v>
      </c>
      <c r="Y3" s="66">
        <f>IF('Accueil RNCP'!E32&lt;&gt;"",'Accueil RNCP'!E32/SUM('Accueil RNCP'!E$31:E$42),"")</f>
        <v>0.25</v>
      </c>
      <c r="Z3" s="66">
        <f>IF('Accueil RNCP'!E33&lt;&gt;"",'Accueil RNCP'!E33/SUM('Accueil RNCP'!E$31:E$42),"")</f>
        <v>0.25</v>
      </c>
      <c r="AA3" s="66">
        <f>IF('Accueil RNCP'!E34&lt;&gt;"",'Accueil RNCP'!E34/SUM('Accueil RNCP'!E$31:E$42),"")</f>
        <v>0.125</v>
      </c>
      <c r="AB3" s="66">
        <f>IF('Accueil RNCP'!E35&lt;&gt;"",'Accueil RNCP'!E35/SUM('Accueil RNCP'!E$31:E$42),"")</f>
        <v>0.125</v>
      </c>
      <c r="AC3" s="66" t="str">
        <f>IF('Accueil RNCP'!E36&lt;&gt;"",'Accueil RNCP'!E36/SUM('Accueil RNCP'!E$31:E$42),"")</f>
        <v/>
      </c>
      <c r="AD3" s="66" t="str">
        <f>IF('Accueil RNCP'!E37&lt;&gt;"",'Accueil RNCP'!E37/SUM('Accueil RNCP'!E$31:E$42),"")</f>
        <v/>
      </c>
      <c r="AE3" s="66" t="str">
        <f>IF('Accueil RNCP'!E38&lt;&gt;"",'Accueil RNCP'!E38/SUM('Accueil RNCP'!E$31:E$42),"")</f>
        <v/>
      </c>
      <c r="AF3" s="66" t="str">
        <f>IF('Accueil RNCP'!E39&lt;&gt;"",'Accueil RNCP'!E39/SUM('Accueil RNCP'!E$31:E$42),"")</f>
        <v/>
      </c>
      <c r="AG3" s="66" t="str">
        <f>IF('Accueil RNCP'!E40&lt;&gt;"",'Accueil RNCP'!E40/SUM('Accueil RNCP'!E$31:E$42),"")</f>
        <v/>
      </c>
      <c r="AH3" s="66" t="str">
        <f>IF('Accueil RNCP'!E41&lt;&gt;"",'Accueil RNCP'!E41/SUM('Accueil RNCP'!E$31:E$42),"")</f>
        <v/>
      </c>
      <c r="AI3" s="66" t="str">
        <f>IF('Accueil RNCP'!E42&lt;&gt;"",'Accueil RNCP'!E42/SUM('Accueil RNCP'!E$31:E$42),"")</f>
        <v/>
      </c>
      <c r="AJ3" s="156"/>
      <c r="AL3" s="67" t="s">
        <v>36</v>
      </c>
      <c r="AM3" s="67" t="s">
        <v>37</v>
      </c>
      <c r="AN3" s="151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51"/>
    </row>
    <row r="4" spans="1:53" s="63" customFormat="1" ht="15" customHeight="1" thickBot="1" x14ac:dyDescent="0.35">
      <c r="A4" s="116"/>
      <c r="B4" s="126"/>
      <c r="C4" s="71">
        <v>4</v>
      </c>
      <c r="D4" s="72">
        <v>2</v>
      </c>
      <c r="E4" s="84">
        <v>1</v>
      </c>
      <c r="F4" s="85">
        <v>4</v>
      </c>
      <c r="G4" s="73">
        <v>4</v>
      </c>
      <c r="H4" s="73">
        <v>4</v>
      </c>
      <c r="I4" s="73">
        <v>4</v>
      </c>
      <c r="J4" s="73">
        <v>0</v>
      </c>
      <c r="K4" s="73">
        <v>0</v>
      </c>
      <c r="L4" s="73">
        <v>0</v>
      </c>
      <c r="M4" s="74">
        <v>0</v>
      </c>
      <c r="N4" s="75">
        <v>4</v>
      </c>
      <c r="O4" s="75">
        <v>1</v>
      </c>
      <c r="P4" s="72">
        <v>2</v>
      </c>
      <c r="Q4" s="122"/>
      <c r="R4" s="140"/>
      <c r="S4" s="149"/>
      <c r="T4" s="94"/>
      <c r="U4" s="68"/>
      <c r="W4" s="144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5"/>
      <c r="AL4" s="67"/>
      <c r="AM4" s="67"/>
      <c r="AN4" s="152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52"/>
    </row>
    <row r="5" spans="1:53" ht="14.5" x14ac:dyDescent="0.35">
      <c r="A5" s="123">
        <v>1</v>
      </c>
      <c r="B5" s="78"/>
      <c r="C5" s="83"/>
      <c r="D5" s="47"/>
      <c r="E5" s="51"/>
      <c r="F5" s="83"/>
      <c r="G5" s="47"/>
      <c r="H5" s="47"/>
      <c r="I5" s="47"/>
      <c r="J5" s="47"/>
      <c r="K5" s="47"/>
      <c r="L5" s="47"/>
      <c r="M5" s="86"/>
      <c r="N5" s="52"/>
      <c r="O5" s="52"/>
      <c r="P5" s="47"/>
      <c r="Q5" s="93"/>
      <c r="R5" s="70">
        <f>ROUNDDOWN(2*(SUMPRODUCT(C$4:P$4,C5:P5)/SUM(C$4:P$4)*20+Q5),0)/2</f>
        <v>0</v>
      </c>
      <c r="S5" s="87"/>
      <c r="T5" s="154"/>
      <c r="U5" s="154"/>
      <c r="V5" s="9"/>
      <c r="W5" s="27" t="str">
        <f>IF(COUNT(C5:Q5)&gt;0,ROUND(2*SUM(N5:Q5)/7*20,0)/2,"")</f>
        <v/>
      </c>
      <c r="X5" s="29" t="str">
        <f t="shared" ref="X5:AI5" si="1">IF(AND(X$3&lt;&gt;"",$W5&lt;&gt;""),ROUND(2*($R5*(COUNT($X$3:$AI$3)+1)-$W5)*X$3,0)/2,"")</f>
        <v/>
      </c>
      <c r="Y5" s="29" t="str">
        <f t="shared" si="1"/>
        <v/>
      </c>
      <c r="Z5" s="29" t="str">
        <f t="shared" si="1"/>
        <v/>
      </c>
      <c r="AA5" s="29" t="str">
        <f t="shared" si="1"/>
        <v/>
      </c>
      <c r="AB5" s="29" t="str">
        <f t="shared" si="1"/>
        <v/>
      </c>
      <c r="AC5" s="29" t="str">
        <f t="shared" si="1"/>
        <v/>
      </c>
      <c r="AD5" s="29" t="str">
        <f t="shared" si="1"/>
        <v/>
      </c>
      <c r="AE5" s="29" t="str">
        <f t="shared" si="1"/>
        <v/>
      </c>
      <c r="AF5" s="29" t="str">
        <f t="shared" si="1"/>
        <v/>
      </c>
      <c r="AG5" s="29" t="str">
        <f t="shared" si="1"/>
        <v/>
      </c>
      <c r="AH5" s="29" t="str">
        <f t="shared" si="1"/>
        <v/>
      </c>
      <c r="AI5" s="29" t="str">
        <f t="shared" si="1"/>
        <v/>
      </c>
      <c r="AJ5" s="30" t="str">
        <f>IF(COUNT(W5:AI5)&gt;0,ROUND(2*AVERAGE(W5:AE5),0)/2,"")</f>
        <v/>
      </c>
      <c r="AL5" s="36">
        <f t="shared" ref="AL5:AL37" si="2">IF(R5&lt;10,MAX(0,2*R5-10),MAX(10,2*R5-20))</f>
        <v>0</v>
      </c>
      <c r="AM5" s="36">
        <f t="shared" ref="AM5:AM37" si="3">2*R5-AL5</f>
        <v>0</v>
      </c>
      <c r="AN5" s="99" t="str">
        <f>IF(W5&lt;&gt;"",MIN($AM5,MAX($AL5,IF($AJ5&gt;0,0.5*ROUNDUP(2*((W5-MIN($W5:$AI5))/(MAX($W5:$AI5)-MIN($W5:$AI5))*($AM5-$AL5+IF(Q5&gt;10,1,0))+$AL5),0),0))),"")</f>
        <v/>
      </c>
      <c r="AO5" s="99" t="str">
        <f t="shared" ref="AO5:AZ5" si="4">IF(X5&lt;&gt;"",MIN($AM5,MAX($AL5,IF($AJ5&gt;0,0.5*ROUNDUP(2*((X5-MIN($W5:$AI5))/(MAX($W5:$AI5)-MIN($W5:$AI5))*($AM5-$AL5+IF(R5&gt;10,1,0))+$AL5),0),0))),"")</f>
        <v/>
      </c>
      <c r="AP5" s="99" t="str">
        <f t="shared" si="4"/>
        <v/>
      </c>
      <c r="AQ5" s="99" t="str">
        <f t="shared" si="4"/>
        <v/>
      </c>
      <c r="AR5" s="99" t="str">
        <f t="shared" si="4"/>
        <v/>
      </c>
      <c r="AS5" s="99" t="str">
        <f t="shared" si="4"/>
        <v/>
      </c>
      <c r="AT5" s="99" t="str">
        <f t="shared" si="4"/>
        <v/>
      </c>
      <c r="AU5" s="99" t="str">
        <f t="shared" si="4"/>
        <v/>
      </c>
      <c r="AV5" s="99" t="str">
        <f t="shared" si="4"/>
        <v/>
      </c>
      <c r="AW5" s="99" t="str">
        <f t="shared" si="4"/>
        <v/>
      </c>
      <c r="AX5" s="99" t="str">
        <f t="shared" si="4"/>
        <v/>
      </c>
      <c r="AY5" s="99" t="str">
        <f t="shared" si="4"/>
        <v/>
      </c>
      <c r="AZ5" s="99" t="str">
        <f t="shared" si="4"/>
        <v/>
      </c>
      <c r="BA5" s="100" t="str">
        <f>IF(ISNUMBER(AJ5),ROUND(2*AVERAGE(AN5:AZ5),0)/2,"")</f>
        <v/>
      </c>
    </row>
    <row r="6" spans="1:53" ht="14.5" x14ac:dyDescent="0.35">
      <c r="A6" s="118"/>
      <c r="B6" s="6"/>
      <c r="C6" s="61"/>
      <c r="D6" s="48"/>
      <c r="E6" s="50"/>
      <c r="F6" s="61"/>
      <c r="G6" s="48"/>
      <c r="H6" s="104"/>
      <c r="I6" s="104"/>
      <c r="J6" s="104"/>
      <c r="K6" s="104"/>
      <c r="L6" s="104"/>
      <c r="M6" s="105"/>
      <c r="N6" s="53"/>
      <c r="O6" s="106"/>
      <c r="P6" s="50"/>
      <c r="Q6" s="50"/>
      <c r="R6" s="70">
        <f t="shared" ref="R6:R69" si="5">ROUNDDOWN(2*(SUMPRODUCT(C$4:P$4,C6:P6)/SUM(C$4:P$4)*20+Q6),0)/2</f>
        <v>0</v>
      </c>
      <c r="S6" s="87"/>
      <c r="T6" s="154"/>
      <c r="U6" s="154"/>
      <c r="V6" s="9"/>
      <c r="W6" s="27" t="str">
        <f>IF(COUNT(D6:Q6)&gt;0,ROUND(2*SUM(N6:Q6)/7*20,0)/2,"")</f>
        <v/>
      </c>
      <c r="X6" s="29" t="str">
        <f t="shared" ref="X6:X25" si="6">IF(AND(X$3&lt;&gt;"",$W6&lt;&gt;""),ROUND(2*($R6*(COUNT($X$3:$AI$3)+1)-$W6)*X$3,0)/2,"")</f>
        <v/>
      </c>
      <c r="Y6" s="29" t="str">
        <f t="shared" ref="Y6:AI7" si="7">IF(AND(Y$3&lt;&gt;"",$W6&lt;&gt;""),ROUND(2*($R6*(COUNT($X$3:$AI$3)+1)-$W6)*Y$3,0)/2,"")</f>
        <v/>
      </c>
      <c r="Z6" s="29" t="str">
        <f t="shared" si="7"/>
        <v/>
      </c>
      <c r="AA6" s="29" t="str">
        <f t="shared" si="7"/>
        <v/>
      </c>
      <c r="AB6" s="29" t="str">
        <f t="shared" si="7"/>
        <v/>
      </c>
      <c r="AC6" s="29" t="str">
        <f t="shared" si="7"/>
        <v/>
      </c>
      <c r="AD6" s="29" t="str">
        <f t="shared" si="7"/>
        <v/>
      </c>
      <c r="AE6" s="29" t="str">
        <f t="shared" si="7"/>
        <v/>
      </c>
      <c r="AF6" s="29" t="str">
        <f t="shared" si="7"/>
        <v/>
      </c>
      <c r="AG6" s="29" t="str">
        <f t="shared" si="7"/>
        <v/>
      </c>
      <c r="AH6" s="29" t="str">
        <f t="shared" si="7"/>
        <v/>
      </c>
      <c r="AI6" s="29" t="str">
        <f t="shared" si="7"/>
        <v/>
      </c>
      <c r="AJ6" s="30" t="str">
        <f t="shared" ref="AJ6:AJ69" si="8">IF(COUNT(W6:AI6)&gt;0,ROUND(2*AVERAGE(W6:AE6),0)/2,"")</f>
        <v/>
      </c>
      <c r="AL6" s="36">
        <f t="shared" si="2"/>
        <v>0</v>
      </c>
      <c r="AM6" s="36">
        <f t="shared" si="3"/>
        <v>0</v>
      </c>
      <c r="AN6" s="99" t="str">
        <f t="shared" ref="AN6:AN69" si="9">IF(W6&lt;&gt;"",MIN($AM6,MAX($AL6,IF($AJ6&gt;0,0.5*ROUNDUP(2*((W6-MIN($W6:$AI6))/(MAX($W6:$AI6)-MIN($W6:$AI6))*($AM6-$AL6+IF(Q6&gt;10,1,0))+$AL6),0),0))),"")</f>
        <v/>
      </c>
      <c r="AO6" s="99" t="str">
        <f t="shared" ref="AO6:AO69" si="10">IF(X6&lt;&gt;"",MIN($AM6,MAX($AL6,IF($AJ6&gt;0,0.5*ROUNDUP(2*((X6-MIN($W6:$AI6))/(MAX($W6:$AI6)-MIN($W6:$AI6))*($AM6-$AL6+IF(R6&gt;10,1,0))+$AL6),0),0))),"")</f>
        <v/>
      </c>
      <c r="AP6" s="99" t="str">
        <f t="shared" ref="AP6:AP69" si="11">IF(Y6&lt;&gt;"",MIN($AM6,MAX($AL6,IF($AJ6&gt;0,0.5*ROUNDUP(2*((Y6-MIN($W6:$AI6))/(MAX($W6:$AI6)-MIN($W6:$AI6))*($AM6-$AL6+IF(S6&gt;10,1,0))+$AL6),0),0))),"")</f>
        <v/>
      </c>
      <c r="AQ6" s="99" t="str">
        <f t="shared" ref="AQ6:AQ69" si="12">IF(Z6&lt;&gt;"",MIN($AM6,MAX($AL6,IF($AJ6&gt;0,0.5*ROUNDUP(2*((Z6-MIN($W6:$AI6))/(MAX($W6:$AI6)-MIN($W6:$AI6))*($AM6-$AL6+IF(T6&gt;10,1,0))+$AL6),0),0))),"")</f>
        <v/>
      </c>
      <c r="AR6" s="99" t="str">
        <f t="shared" ref="AR6:AR69" si="13">IF(AA6&lt;&gt;"",MIN($AM6,MAX($AL6,IF($AJ6&gt;0,0.5*ROUNDUP(2*((AA6-MIN($W6:$AI6))/(MAX($W6:$AI6)-MIN($W6:$AI6))*($AM6-$AL6+IF(U6&gt;10,1,0))+$AL6),0),0))),"")</f>
        <v/>
      </c>
      <c r="AS6" s="99" t="str">
        <f t="shared" ref="AS6:AS69" si="14">IF(AB6&lt;&gt;"",MIN($AM6,MAX($AL6,IF($AJ6&gt;0,0.5*ROUNDUP(2*((AB6-MIN($W6:$AI6))/(MAX($W6:$AI6)-MIN($W6:$AI6))*($AM6-$AL6+IF(V6&gt;10,1,0))+$AL6),0),0))),"")</f>
        <v/>
      </c>
      <c r="AT6" s="99" t="str">
        <f t="shared" ref="AT6:AT69" si="15">IF(AC6&lt;&gt;"",MIN($AM6,MAX($AL6,IF($AJ6&gt;0,0.5*ROUNDUP(2*((AC6-MIN($W6:$AI6))/(MAX($W6:$AI6)-MIN($W6:$AI6))*($AM6-$AL6+IF(W6&gt;10,1,0))+$AL6),0),0))),"")</f>
        <v/>
      </c>
      <c r="AU6" s="99" t="str">
        <f t="shared" ref="AU6:AU69" si="16">IF(AD6&lt;&gt;"",MIN($AM6,MAX($AL6,IF($AJ6&gt;0,0.5*ROUNDUP(2*((AD6-MIN($W6:$AI6))/(MAX($W6:$AI6)-MIN($W6:$AI6))*($AM6-$AL6+IF(X6&gt;10,1,0))+$AL6),0),0))),"")</f>
        <v/>
      </c>
      <c r="AV6" s="99" t="str">
        <f t="shared" ref="AV6:AV69" si="17">IF(AE6&lt;&gt;"",MIN($AM6,MAX($AL6,IF($AJ6&gt;0,0.5*ROUNDUP(2*((AE6-MIN($W6:$AI6))/(MAX($W6:$AI6)-MIN($W6:$AI6))*($AM6-$AL6+IF(Y6&gt;10,1,0))+$AL6),0),0))),"")</f>
        <v/>
      </c>
      <c r="AW6" s="99" t="str">
        <f t="shared" ref="AW6:AW69" si="18">IF(AF6&lt;&gt;"",MIN($AM6,MAX($AL6,IF($AJ6&gt;0,0.5*ROUNDUP(2*((AF6-MIN($W6:$AI6))/(MAX($W6:$AI6)-MIN($W6:$AI6))*($AM6-$AL6+IF(Z6&gt;10,1,0))+$AL6),0),0))),"")</f>
        <v/>
      </c>
      <c r="AX6" s="99" t="str">
        <f t="shared" ref="AX6:AX69" si="19">IF(AG6&lt;&gt;"",MIN($AM6,MAX($AL6,IF($AJ6&gt;0,0.5*ROUNDUP(2*((AG6-MIN($W6:$AI6))/(MAX($W6:$AI6)-MIN($W6:$AI6))*($AM6-$AL6+IF(AA6&gt;10,1,0))+$AL6),0),0))),"")</f>
        <v/>
      </c>
      <c r="AY6" s="99" t="str">
        <f t="shared" ref="AY6:AY69" si="20">IF(AH6&lt;&gt;"",MIN($AM6,MAX($AL6,IF($AJ6&gt;0,0.5*ROUNDUP(2*((AH6-MIN($W6:$AI6))/(MAX($W6:$AI6)-MIN($W6:$AI6))*($AM6-$AL6+IF(AB6&gt;10,1,0))+$AL6),0),0))),"")</f>
        <v/>
      </c>
      <c r="AZ6" s="99" t="str">
        <f t="shared" ref="AZ6:AZ69" si="21">IF(AI6&lt;&gt;"",MIN($AM6,MAX($AL6,IF($AJ6&gt;0,0.5*ROUNDUP(2*((AI6-MIN($W6:$AI6))/(MAX($W6:$AI6)-MIN($W6:$AI6))*($AM6-$AL6+IF(AC6&gt;10,1,0))+$AL6),0),0))),"")</f>
        <v/>
      </c>
      <c r="BA6" s="98" t="str">
        <f t="shared" ref="BA6:BA69" si="22">IF(ISNUMBER(AJ6),ROUND(2*AVERAGE(AN6:AZ6),0)/2,"")</f>
        <v/>
      </c>
    </row>
    <row r="7" spans="1:53" ht="14.5" x14ac:dyDescent="0.35">
      <c r="A7" s="118"/>
      <c r="B7" s="6"/>
      <c r="C7" s="61"/>
      <c r="D7" s="48"/>
      <c r="E7" s="50"/>
      <c r="F7" s="61"/>
      <c r="G7" s="48"/>
      <c r="H7" s="48"/>
      <c r="I7" s="48"/>
      <c r="J7" s="48"/>
      <c r="K7" s="48"/>
      <c r="L7" s="48"/>
      <c r="M7" s="81"/>
      <c r="N7" s="53"/>
      <c r="O7" s="53"/>
      <c r="P7" s="50"/>
      <c r="Q7" s="50"/>
      <c r="R7" s="70">
        <f t="shared" si="5"/>
        <v>0</v>
      </c>
      <c r="S7" s="87"/>
      <c r="T7" s="154"/>
      <c r="U7" s="154"/>
      <c r="V7" s="9"/>
      <c r="W7" s="27" t="str">
        <f>IF(COUNT(D7:Q7)&gt;0,ROUND(2*SUM(N7:Q7)/7*20,0)/2,"")</f>
        <v/>
      </c>
      <c r="X7" s="29" t="str">
        <f t="shared" si="6"/>
        <v/>
      </c>
      <c r="Y7" s="29" t="str">
        <f t="shared" si="7"/>
        <v/>
      </c>
      <c r="Z7" s="29" t="str">
        <f t="shared" si="7"/>
        <v/>
      </c>
      <c r="AA7" s="29" t="str">
        <f t="shared" si="7"/>
        <v/>
      </c>
      <c r="AB7" s="29" t="str">
        <f t="shared" si="7"/>
        <v/>
      </c>
      <c r="AC7" s="29" t="str">
        <f t="shared" si="7"/>
        <v/>
      </c>
      <c r="AD7" s="29" t="str">
        <f t="shared" si="7"/>
        <v/>
      </c>
      <c r="AE7" s="29" t="str">
        <f t="shared" si="7"/>
        <v/>
      </c>
      <c r="AF7" s="29" t="str">
        <f t="shared" si="7"/>
        <v/>
      </c>
      <c r="AG7" s="29" t="str">
        <f t="shared" si="7"/>
        <v/>
      </c>
      <c r="AH7" s="29" t="str">
        <f t="shared" si="7"/>
        <v/>
      </c>
      <c r="AI7" s="29" t="str">
        <f t="shared" si="7"/>
        <v/>
      </c>
      <c r="AJ7" s="30" t="str">
        <f t="shared" si="8"/>
        <v/>
      </c>
      <c r="AL7" s="36">
        <f t="shared" si="2"/>
        <v>0</v>
      </c>
      <c r="AM7" s="36">
        <f t="shared" si="3"/>
        <v>0</v>
      </c>
      <c r="AN7" s="99" t="str">
        <f t="shared" si="9"/>
        <v/>
      </c>
      <c r="AO7" s="99" t="str">
        <f t="shared" si="10"/>
        <v/>
      </c>
      <c r="AP7" s="99" t="str">
        <f t="shared" si="11"/>
        <v/>
      </c>
      <c r="AQ7" s="99" t="str">
        <f t="shared" si="12"/>
        <v/>
      </c>
      <c r="AR7" s="99" t="str">
        <f t="shared" si="13"/>
        <v/>
      </c>
      <c r="AS7" s="99" t="str">
        <f t="shared" si="14"/>
        <v/>
      </c>
      <c r="AT7" s="99" t="str">
        <f t="shared" si="15"/>
        <v/>
      </c>
      <c r="AU7" s="99" t="str">
        <f t="shared" si="16"/>
        <v/>
      </c>
      <c r="AV7" s="99" t="str">
        <f t="shared" si="17"/>
        <v/>
      </c>
      <c r="AW7" s="99" t="str">
        <f t="shared" si="18"/>
        <v/>
      </c>
      <c r="AX7" s="99" t="str">
        <f t="shared" si="19"/>
        <v/>
      </c>
      <c r="AY7" s="99" t="str">
        <f t="shared" si="20"/>
        <v/>
      </c>
      <c r="AZ7" s="99" t="str">
        <f t="shared" si="21"/>
        <v/>
      </c>
      <c r="BA7" s="98" t="str">
        <f t="shared" si="22"/>
        <v/>
      </c>
    </row>
    <row r="8" spans="1:53" ht="14.5" x14ac:dyDescent="0.35">
      <c r="A8" s="118"/>
      <c r="B8" s="6"/>
      <c r="C8" s="61"/>
      <c r="D8" s="48"/>
      <c r="E8" s="50"/>
      <c r="F8" s="61"/>
      <c r="G8" s="48"/>
      <c r="H8" s="48"/>
      <c r="I8" s="48"/>
      <c r="J8" s="48"/>
      <c r="K8" s="48"/>
      <c r="L8" s="48"/>
      <c r="M8" s="81"/>
      <c r="N8" s="53"/>
      <c r="O8" s="53"/>
      <c r="P8" s="50"/>
      <c r="Q8" s="50"/>
      <c r="R8" s="70">
        <f t="shared" si="5"/>
        <v>0</v>
      </c>
      <c r="S8" s="87"/>
      <c r="T8" s="154"/>
      <c r="U8" s="154"/>
      <c r="V8" s="9"/>
      <c r="W8" s="27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30" t="str">
        <f t="shared" si="8"/>
        <v/>
      </c>
      <c r="AL8" s="36"/>
      <c r="AM8" s="36"/>
      <c r="AN8" s="99" t="str">
        <f t="shared" si="9"/>
        <v/>
      </c>
      <c r="AO8" s="99" t="str">
        <f t="shared" si="10"/>
        <v/>
      </c>
      <c r="AP8" s="99" t="str">
        <f t="shared" si="11"/>
        <v/>
      </c>
      <c r="AQ8" s="99" t="str">
        <f t="shared" si="12"/>
        <v/>
      </c>
      <c r="AR8" s="99" t="str">
        <f t="shared" si="13"/>
        <v/>
      </c>
      <c r="AS8" s="99" t="str">
        <f t="shared" si="14"/>
        <v/>
      </c>
      <c r="AT8" s="99" t="str">
        <f t="shared" si="15"/>
        <v/>
      </c>
      <c r="AU8" s="99" t="str">
        <f t="shared" si="16"/>
        <v/>
      </c>
      <c r="AV8" s="99" t="str">
        <f t="shared" si="17"/>
        <v/>
      </c>
      <c r="AW8" s="99" t="str">
        <f t="shared" si="18"/>
        <v/>
      </c>
      <c r="AX8" s="99" t="str">
        <f t="shared" si="19"/>
        <v/>
      </c>
      <c r="AY8" s="99" t="str">
        <f t="shared" si="20"/>
        <v/>
      </c>
      <c r="AZ8" s="99" t="str">
        <f t="shared" si="21"/>
        <v/>
      </c>
      <c r="BA8" s="98" t="str">
        <f t="shared" si="22"/>
        <v/>
      </c>
    </row>
    <row r="9" spans="1:53" ht="14.5" x14ac:dyDescent="0.35">
      <c r="A9" s="118"/>
      <c r="B9" s="6"/>
      <c r="C9" s="61"/>
      <c r="D9" s="48"/>
      <c r="E9" s="50"/>
      <c r="F9" s="61"/>
      <c r="G9" s="48"/>
      <c r="H9" s="48"/>
      <c r="I9" s="48"/>
      <c r="J9" s="48"/>
      <c r="K9" s="48"/>
      <c r="L9" s="48"/>
      <c r="M9" s="81"/>
      <c r="N9" s="53"/>
      <c r="O9" s="53"/>
      <c r="P9" s="50"/>
      <c r="Q9" s="50"/>
      <c r="R9" s="70">
        <f t="shared" si="5"/>
        <v>0</v>
      </c>
      <c r="S9" s="87"/>
      <c r="T9" s="154"/>
      <c r="U9" s="154"/>
      <c r="V9" s="9"/>
      <c r="W9" s="27" t="str">
        <f t="shared" ref="W9:W40" si="23">IF(COUNT(D9:Q9)&gt;0,ROUND(2*SUM(N9:Q9)/7*20,0)/2,"")</f>
        <v/>
      </c>
      <c r="X9" s="29" t="str">
        <f t="shared" si="6"/>
        <v/>
      </c>
      <c r="Y9" s="29" t="str">
        <f t="shared" ref="Y9:AI18" si="24">IF(AND(Y$3&lt;&gt;"",$W9&lt;&gt;""),ROUND(2*($R9*(COUNT($X$3:$AI$3)+1)-$W9)*Y$3,0)/2,"")</f>
        <v/>
      </c>
      <c r="Z9" s="29" t="str">
        <f t="shared" si="24"/>
        <v/>
      </c>
      <c r="AA9" s="29" t="str">
        <f t="shared" si="24"/>
        <v/>
      </c>
      <c r="AB9" s="29" t="str">
        <f t="shared" si="24"/>
        <v/>
      </c>
      <c r="AC9" s="29" t="str">
        <f t="shared" si="24"/>
        <v/>
      </c>
      <c r="AD9" s="29" t="str">
        <f t="shared" si="24"/>
        <v/>
      </c>
      <c r="AE9" s="29" t="str">
        <f t="shared" si="24"/>
        <v/>
      </c>
      <c r="AF9" s="29" t="str">
        <f t="shared" si="24"/>
        <v/>
      </c>
      <c r="AG9" s="29" t="str">
        <f t="shared" si="24"/>
        <v/>
      </c>
      <c r="AH9" s="29" t="str">
        <f t="shared" si="24"/>
        <v/>
      </c>
      <c r="AI9" s="29" t="str">
        <f t="shared" si="24"/>
        <v/>
      </c>
      <c r="AJ9" s="30" t="str">
        <f t="shared" si="8"/>
        <v/>
      </c>
      <c r="AL9" s="36">
        <f t="shared" si="2"/>
        <v>0</v>
      </c>
      <c r="AM9" s="36">
        <f t="shared" si="3"/>
        <v>0</v>
      </c>
      <c r="AN9" s="99" t="str">
        <f t="shared" si="9"/>
        <v/>
      </c>
      <c r="AO9" s="99" t="str">
        <f t="shared" si="10"/>
        <v/>
      </c>
      <c r="AP9" s="99" t="str">
        <f t="shared" si="11"/>
        <v/>
      </c>
      <c r="AQ9" s="99" t="str">
        <f t="shared" si="12"/>
        <v/>
      </c>
      <c r="AR9" s="99" t="str">
        <f t="shared" si="13"/>
        <v/>
      </c>
      <c r="AS9" s="99" t="str">
        <f t="shared" si="14"/>
        <v/>
      </c>
      <c r="AT9" s="99" t="str">
        <f t="shared" si="15"/>
        <v/>
      </c>
      <c r="AU9" s="99" t="str">
        <f t="shared" si="16"/>
        <v/>
      </c>
      <c r="AV9" s="99" t="str">
        <f t="shared" si="17"/>
        <v/>
      </c>
      <c r="AW9" s="99" t="str">
        <f t="shared" si="18"/>
        <v/>
      </c>
      <c r="AX9" s="99" t="str">
        <f t="shared" si="19"/>
        <v/>
      </c>
      <c r="AY9" s="99" t="str">
        <f t="shared" si="20"/>
        <v/>
      </c>
      <c r="AZ9" s="99" t="str">
        <f t="shared" si="21"/>
        <v/>
      </c>
      <c r="BA9" s="98" t="str">
        <f t="shared" si="22"/>
        <v/>
      </c>
    </row>
    <row r="10" spans="1:53" thickBot="1" x14ac:dyDescent="0.4">
      <c r="A10" s="119"/>
      <c r="B10" s="7"/>
      <c r="C10" s="62"/>
      <c r="D10" s="49"/>
      <c r="E10" s="58"/>
      <c r="F10" s="62"/>
      <c r="G10" s="49"/>
      <c r="H10" s="49"/>
      <c r="I10" s="49"/>
      <c r="J10" s="49"/>
      <c r="K10" s="49"/>
      <c r="L10" s="49"/>
      <c r="M10" s="82"/>
      <c r="N10" s="54"/>
      <c r="O10" s="54"/>
      <c r="P10" s="58"/>
      <c r="Q10" s="58"/>
      <c r="R10" s="101">
        <f t="shared" si="5"/>
        <v>0</v>
      </c>
      <c r="S10" s="88"/>
      <c r="T10" s="155"/>
      <c r="U10" s="155"/>
      <c r="V10" s="9"/>
      <c r="W10" s="27" t="str">
        <f t="shared" si="23"/>
        <v/>
      </c>
      <c r="X10" s="29" t="str">
        <f t="shared" si="6"/>
        <v/>
      </c>
      <c r="Y10" s="29" t="str">
        <f t="shared" si="24"/>
        <v/>
      </c>
      <c r="Z10" s="29" t="str">
        <f t="shared" si="24"/>
        <v/>
      </c>
      <c r="AA10" s="29" t="str">
        <f t="shared" si="24"/>
        <v/>
      </c>
      <c r="AB10" s="29" t="str">
        <f t="shared" si="24"/>
        <v/>
      </c>
      <c r="AC10" s="29" t="str">
        <f t="shared" si="24"/>
        <v/>
      </c>
      <c r="AD10" s="29" t="str">
        <f t="shared" si="24"/>
        <v/>
      </c>
      <c r="AE10" s="29" t="str">
        <f t="shared" si="24"/>
        <v/>
      </c>
      <c r="AF10" s="29" t="str">
        <f t="shared" si="24"/>
        <v/>
      </c>
      <c r="AG10" s="29" t="str">
        <f t="shared" si="24"/>
        <v/>
      </c>
      <c r="AH10" s="29" t="str">
        <f t="shared" si="24"/>
        <v/>
      </c>
      <c r="AI10" s="29" t="str">
        <f t="shared" si="24"/>
        <v/>
      </c>
      <c r="AJ10" s="30" t="str">
        <f t="shared" si="8"/>
        <v/>
      </c>
      <c r="AL10" s="36">
        <f t="shared" si="2"/>
        <v>0</v>
      </c>
      <c r="AM10" s="36">
        <f t="shared" si="3"/>
        <v>0</v>
      </c>
      <c r="AN10" s="99" t="str">
        <f t="shared" si="9"/>
        <v/>
      </c>
      <c r="AO10" s="99" t="str">
        <f t="shared" si="10"/>
        <v/>
      </c>
      <c r="AP10" s="99" t="str">
        <f t="shared" si="11"/>
        <v/>
      </c>
      <c r="AQ10" s="99" t="str">
        <f t="shared" si="12"/>
        <v/>
      </c>
      <c r="AR10" s="99" t="str">
        <f t="shared" si="13"/>
        <v/>
      </c>
      <c r="AS10" s="99" t="str">
        <f t="shared" si="14"/>
        <v/>
      </c>
      <c r="AT10" s="99" t="str">
        <f t="shared" si="15"/>
        <v/>
      </c>
      <c r="AU10" s="99" t="str">
        <f t="shared" si="16"/>
        <v/>
      </c>
      <c r="AV10" s="99" t="str">
        <f t="shared" si="17"/>
        <v/>
      </c>
      <c r="AW10" s="99" t="str">
        <f t="shared" si="18"/>
        <v/>
      </c>
      <c r="AX10" s="99" t="str">
        <f t="shared" si="19"/>
        <v/>
      </c>
      <c r="AY10" s="99" t="str">
        <f t="shared" si="20"/>
        <v/>
      </c>
      <c r="AZ10" s="99" t="str">
        <f t="shared" si="21"/>
        <v/>
      </c>
      <c r="BA10" s="98" t="str">
        <f t="shared" si="22"/>
        <v/>
      </c>
    </row>
    <row r="11" spans="1:53" ht="14.5" x14ac:dyDescent="0.35">
      <c r="A11" s="117">
        <v>2</v>
      </c>
      <c r="B11" s="55"/>
      <c r="C11" s="51"/>
      <c r="D11" s="60"/>
      <c r="E11" s="51"/>
      <c r="F11" s="83"/>
      <c r="G11" s="47"/>
      <c r="H11" s="47"/>
      <c r="I11" s="47"/>
      <c r="J11" s="47"/>
      <c r="K11" s="47"/>
      <c r="L11" s="47"/>
      <c r="M11" s="86"/>
      <c r="N11" s="107"/>
      <c r="O11" s="79"/>
      <c r="P11" s="108"/>
      <c r="Q11" s="8"/>
      <c r="R11" s="102">
        <f t="shared" si="5"/>
        <v>0</v>
      </c>
      <c r="S11" s="87"/>
      <c r="T11" s="153"/>
      <c r="U11" s="153"/>
      <c r="V11" s="9"/>
      <c r="W11" s="27" t="str">
        <f t="shared" si="23"/>
        <v/>
      </c>
      <c r="X11" s="29" t="str">
        <f t="shared" si="6"/>
        <v/>
      </c>
      <c r="Y11" s="29" t="str">
        <f t="shared" si="24"/>
        <v/>
      </c>
      <c r="Z11" s="29" t="str">
        <f t="shared" si="24"/>
        <v/>
      </c>
      <c r="AA11" s="29" t="str">
        <f t="shared" si="24"/>
        <v/>
      </c>
      <c r="AB11" s="29" t="str">
        <f t="shared" si="24"/>
        <v/>
      </c>
      <c r="AC11" s="29" t="str">
        <f t="shared" si="24"/>
        <v/>
      </c>
      <c r="AD11" s="29" t="str">
        <f t="shared" si="24"/>
        <v/>
      </c>
      <c r="AE11" s="29" t="str">
        <f t="shared" si="24"/>
        <v/>
      </c>
      <c r="AF11" s="29" t="str">
        <f t="shared" si="24"/>
        <v/>
      </c>
      <c r="AG11" s="29" t="str">
        <f t="shared" si="24"/>
        <v/>
      </c>
      <c r="AH11" s="29" t="str">
        <f t="shared" si="24"/>
        <v/>
      </c>
      <c r="AI11" s="29" t="str">
        <f t="shared" si="24"/>
        <v/>
      </c>
      <c r="AJ11" s="30" t="str">
        <f t="shared" si="8"/>
        <v/>
      </c>
      <c r="AL11" s="36">
        <f t="shared" si="2"/>
        <v>0</v>
      </c>
      <c r="AM11" s="36">
        <f t="shared" si="3"/>
        <v>0</v>
      </c>
      <c r="AN11" s="99" t="str">
        <f t="shared" si="9"/>
        <v/>
      </c>
      <c r="AO11" s="99" t="str">
        <f t="shared" si="10"/>
        <v/>
      </c>
      <c r="AP11" s="99" t="str">
        <f t="shared" si="11"/>
        <v/>
      </c>
      <c r="AQ11" s="99" t="str">
        <f t="shared" si="12"/>
        <v/>
      </c>
      <c r="AR11" s="99" t="str">
        <f t="shared" si="13"/>
        <v/>
      </c>
      <c r="AS11" s="99" t="str">
        <f t="shared" si="14"/>
        <v/>
      </c>
      <c r="AT11" s="99" t="str">
        <f t="shared" si="15"/>
        <v/>
      </c>
      <c r="AU11" s="99" t="str">
        <f t="shared" si="16"/>
        <v/>
      </c>
      <c r="AV11" s="99" t="str">
        <f t="shared" si="17"/>
        <v/>
      </c>
      <c r="AW11" s="99" t="str">
        <f t="shared" si="18"/>
        <v/>
      </c>
      <c r="AX11" s="99" t="str">
        <f t="shared" si="19"/>
        <v/>
      </c>
      <c r="AY11" s="99" t="str">
        <f t="shared" si="20"/>
        <v/>
      </c>
      <c r="AZ11" s="99" t="str">
        <f t="shared" si="21"/>
        <v/>
      </c>
      <c r="BA11" s="98" t="str">
        <f t="shared" si="22"/>
        <v/>
      </c>
    </row>
    <row r="12" spans="1:53" ht="14.5" x14ac:dyDescent="0.35">
      <c r="A12" s="118"/>
      <c r="B12" s="56"/>
      <c r="C12" s="50"/>
      <c r="D12" s="48"/>
      <c r="E12" s="50"/>
      <c r="F12" s="61"/>
      <c r="G12" s="48"/>
      <c r="H12" s="48"/>
      <c r="I12" s="48"/>
      <c r="J12" s="48"/>
      <c r="K12" s="48"/>
      <c r="L12" s="48"/>
      <c r="M12" s="81"/>
      <c r="N12" s="52"/>
      <c r="O12" s="53"/>
      <c r="P12" s="51"/>
      <c r="Q12" s="6"/>
      <c r="R12" s="70">
        <f t="shared" si="5"/>
        <v>0</v>
      </c>
      <c r="S12" s="87"/>
      <c r="T12" s="154"/>
      <c r="U12" s="154"/>
      <c r="V12" s="9"/>
      <c r="W12" s="27" t="str">
        <f t="shared" si="23"/>
        <v/>
      </c>
      <c r="X12" s="29" t="str">
        <f t="shared" si="6"/>
        <v/>
      </c>
      <c r="Y12" s="29" t="str">
        <f t="shared" si="24"/>
        <v/>
      </c>
      <c r="Z12" s="29" t="str">
        <f t="shared" si="24"/>
        <v/>
      </c>
      <c r="AA12" s="29" t="str">
        <f t="shared" si="24"/>
        <v/>
      </c>
      <c r="AB12" s="29" t="str">
        <f t="shared" si="24"/>
        <v/>
      </c>
      <c r="AC12" s="29" t="str">
        <f t="shared" si="24"/>
        <v/>
      </c>
      <c r="AD12" s="29" t="str">
        <f t="shared" si="24"/>
        <v/>
      </c>
      <c r="AE12" s="29" t="str">
        <f t="shared" si="24"/>
        <v/>
      </c>
      <c r="AF12" s="29" t="str">
        <f t="shared" si="24"/>
        <v/>
      </c>
      <c r="AG12" s="29" t="str">
        <f t="shared" si="24"/>
        <v/>
      </c>
      <c r="AH12" s="29" t="str">
        <f t="shared" si="24"/>
        <v/>
      </c>
      <c r="AI12" s="29" t="str">
        <f t="shared" si="24"/>
        <v/>
      </c>
      <c r="AJ12" s="30" t="str">
        <f t="shared" si="8"/>
        <v/>
      </c>
      <c r="AL12" s="36">
        <f t="shared" si="2"/>
        <v>0</v>
      </c>
      <c r="AM12" s="36">
        <f t="shared" si="3"/>
        <v>0</v>
      </c>
      <c r="AN12" s="99" t="str">
        <f t="shared" ref="AN12:AN16" si="25">IF(W12&lt;&gt;"",MIN($AM12,MAX($AL12,IF($AJ12&gt;0,0.5*ROUNDUP(2*((W12-MIN($W12:$AI12))/(MAX($W12:$AI12)-MIN($W12:$AI12))*($AM12-$AL12+IF(Q12&gt;10,1,0))+$AL12),0),0))),"")</f>
        <v/>
      </c>
      <c r="AO12" s="99" t="str">
        <f t="shared" ref="AO12:AO16" si="26">IF(X12&lt;&gt;"",MIN($AM12,MAX($AL12,IF($AJ12&gt;0,0.5*ROUNDUP(2*((X12-MIN($W12:$AI12))/(MAX($W12:$AI12)-MIN($W12:$AI12))*($AM12-$AL12+IF(R12&gt;10,1,0))+$AL12),0),0))),"")</f>
        <v/>
      </c>
      <c r="AP12" s="99" t="str">
        <f t="shared" ref="AP12:AP16" si="27">IF(Y12&lt;&gt;"",MIN($AM12,MAX($AL12,IF($AJ12&gt;0,0.5*ROUNDUP(2*((Y12-MIN($W12:$AI12))/(MAX($W12:$AI12)-MIN($W12:$AI12))*($AM12-$AL12+IF(S12&gt;10,1,0))+$AL12),0),0))),"")</f>
        <v/>
      </c>
      <c r="AQ12" s="99" t="str">
        <f t="shared" ref="AQ12:AQ16" si="28">IF(Z12&lt;&gt;"",MIN($AM12,MAX($AL12,IF($AJ12&gt;0,0.5*ROUNDUP(2*((Z12-MIN($W12:$AI12))/(MAX($W12:$AI12)-MIN($W12:$AI12))*($AM12-$AL12+IF(T12&gt;10,1,0))+$AL12),0),0))),"")</f>
        <v/>
      </c>
      <c r="AR12" s="99" t="str">
        <f t="shared" ref="AR12:AR16" si="29">IF(AA12&lt;&gt;"",MIN($AM12,MAX($AL12,IF($AJ12&gt;0,0.5*ROUNDUP(2*((AA12-MIN($W12:$AI12))/(MAX($W12:$AI12)-MIN($W12:$AI12))*($AM12-$AL12+IF(U12&gt;10,1,0))+$AL12),0),0))),"")</f>
        <v/>
      </c>
      <c r="AS12" s="99" t="str">
        <f t="shared" ref="AS12:AS16" si="30">IF(AB12&lt;&gt;"",MIN($AM12,MAX($AL12,IF($AJ12&gt;0,0.5*ROUNDUP(2*((AB12-MIN($W12:$AI12))/(MAX($W12:$AI12)-MIN($W12:$AI12))*($AM12-$AL12+IF(V12&gt;10,1,0))+$AL12),0),0))),"")</f>
        <v/>
      </c>
      <c r="AT12" s="99" t="str">
        <f t="shared" ref="AT12:AT16" si="31">IF(AC12&lt;&gt;"",MIN($AM12,MAX($AL12,IF($AJ12&gt;0,0.5*ROUNDUP(2*((AC12-MIN($W12:$AI12))/(MAX($W12:$AI12)-MIN($W12:$AI12))*($AM12-$AL12+IF(W12&gt;10,1,0))+$AL12),0),0))),"")</f>
        <v/>
      </c>
      <c r="AU12" s="99" t="str">
        <f t="shared" ref="AU12:AU16" si="32">IF(AD12&lt;&gt;"",MIN($AM12,MAX($AL12,IF($AJ12&gt;0,0.5*ROUNDUP(2*((AD12-MIN($W12:$AI12))/(MAX($W12:$AI12)-MIN($W12:$AI12))*($AM12-$AL12+IF(X12&gt;10,1,0))+$AL12),0),0))),"")</f>
        <v/>
      </c>
      <c r="AV12" s="99" t="str">
        <f t="shared" ref="AV12:AV16" si="33">IF(AE12&lt;&gt;"",MIN($AM12,MAX($AL12,IF($AJ12&gt;0,0.5*ROUNDUP(2*((AE12-MIN($W12:$AI12))/(MAX($W12:$AI12)-MIN($W12:$AI12))*($AM12-$AL12+IF(Y12&gt;10,1,0))+$AL12),0),0))),"")</f>
        <v/>
      </c>
      <c r="AW12" s="99" t="str">
        <f t="shared" si="18"/>
        <v/>
      </c>
      <c r="AX12" s="99" t="str">
        <f t="shared" si="19"/>
        <v/>
      </c>
      <c r="AY12" s="99" t="str">
        <f t="shared" si="20"/>
        <v/>
      </c>
      <c r="AZ12" s="99" t="str">
        <f t="shared" si="21"/>
        <v/>
      </c>
      <c r="BA12" s="98" t="str">
        <f t="shared" si="22"/>
        <v/>
      </c>
    </row>
    <row r="13" spans="1:53" ht="14.5" x14ac:dyDescent="0.35">
      <c r="A13" s="118"/>
      <c r="B13" s="56"/>
      <c r="C13" s="50"/>
      <c r="D13" s="48"/>
      <c r="E13" s="50"/>
      <c r="F13" s="61"/>
      <c r="G13" s="48"/>
      <c r="H13" s="48"/>
      <c r="I13" s="48"/>
      <c r="J13" s="48"/>
      <c r="K13" s="48"/>
      <c r="L13" s="48"/>
      <c r="M13" s="81"/>
      <c r="N13" s="53"/>
      <c r="O13" s="53"/>
      <c r="P13" s="50"/>
      <c r="Q13" s="6"/>
      <c r="R13" s="70">
        <f t="shared" si="5"/>
        <v>0</v>
      </c>
      <c r="S13" s="87"/>
      <c r="T13" s="154"/>
      <c r="U13" s="154"/>
      <c r="V13" s="9"/>
      <c r="W13" s="27" t="str">
        <f t="shared" si="23"/>
        <v/>
      </c>
      <c r="X13" s="29" t="str">
        <f t="shared" si="6"/>
        <v/>
      </c>
      <c r="Y13" s="29" t="str">
        <f t="shared" si="24"/>
        <v/>
      </c>
      <c r="Z13" s="29" t="str">
        <f t="shared" si="24"/>
        <v/>
      </c>
      <c r="AA13" s="29" t="str">
        <f t="shared" si="24"/>
        <v/>
      </c>
      <c r="AB13" s="29" t="str">
        <f t="shared" si="24"/>
        <v/>
      </c>
      <c r="AC13" s="29" t="str">
        <f t="shared" si="24"/>
        <v/>
      </c>
      <c r="AD13" s="29" t="str">
        <f t="shared" si="24"/>
        <v/>
      </c>
      <c r="AE13" s="29" t="str">
        <f t="shared" si="24"/>
        <v/>
      </c>
      <c r="AF13" s="29" t="str">
        <f t="shared" si="24"/>
        <v/>
      </c>
      <c r="AG13" s="29" t="str">
        <f t="shared" si="24"/>
        <v/>
      </c>
      <c r="AH13" s="29" t="str">
        <f t="shared" si="24"/>
        <v/>
      </c>
      <c r="AI13" s="29" t="str">
        <f t="shared" si="24"/>
        <v/>
      </c>
      <c r="AJ13" s="30" t="str">
        <f t="shared" si="8"/>
        <v/>
      </c>
      <c r="AL13" s="36">
        <f t="shared" si="2"/>
        <v>0</v>
      </c>
      <c r="AM13" s="36">
        <f t="shared" si="3"/>
        <v>0</v>
      </c>
      <c r="AN13" s="99" t="str">
        <f t="shared" si="25"/>
        <v/>
      </c>
      <c r="AO13" s="99" t="str">
        <f t="shared" si="26"/>
        <v/>
      </c>
      <c r="AP13" s="99" t="str">
        <f t="shared" si="27"/>
        <v/>
      </c>
      <c r="AQ13" s="99" t="str">
        <f t="shared" si="28"/>
        <v/>
      </c>
      <c r="AR13" s="99" t="str">
        <f t="shared" si="29"/>
        <v/>
      </c>
      <c r="AS13" s="99" t="str">
        <f t="shared" si="30"/>
        <v/>
      </c>
      <c r="AT13" s="99" t="str">
        <f t="shared" si="31"/>
        <v/>
      </c>
      <c r="AU13" s="99" t="str">
        <f t="shared" si="32"/>
        <v/>
      </c>
      <c r="AV13" s="99" t="str">
        <f t="shared" si="33"/>
        <v/>
      </c>
      <c r="AW13" s="99" t="str">
        <f t="shared" si="18"/>
        <v/>
      </c>
      <c r="AX13" s="99" t="str">
        <f t="shared" si="19"/>
        <v/>
      </c>
      <c r="AY13" s="99" t="str">
        <f t="shared" si="20"/>
        <v/>
      </c>
      <c r="AZ13" s="99" t="str">
        <f t="shared" si="21"/>
        <v/>
      </c>
      <c r="BA13" s="98" t="str">
        <f t="shared" si="22"/>
        <v/>
      </c>
    </row>
    <row r="14" spans="1:53" ht="14.5" x14ac:dyDescent="0.35">
      <c r="A14" s="118"/>
      <c r="B14" s="56"/>
      <c r="C14" s="50"/>
      <c r="D14" s="48"/>
      <c r="E14" s="50"/>
      <c r="F14" s="61"/>
      <c r="G14" s="48"/>
      <c r="H14" s="48"/>
      <c r="I14" s="48"/>
      <c r="J14" s="48"/>
      <c r="K14" s="48"/>
      <c r="L14" s="48"/>
      <c r="M14" s="81"/>
      <c r="N14" s="53"/>
      <c r="O14" s="53"/>
      <c r="P14" s="50"/>
      <c r="Q14" s="6"/>
      <c r="R14" s="70">
        <f t="shared" si="5"/>
        <v>0</v>
      </c>
      <c r="S14" s="87"/>
      <c r="T14" s="154"/>
      <c r="U14" s="154"/>
      <c r="V14" s="9"/>
      <c r="W14" s="27" t="str">
        <f t="shared" si="23"/>
        <v/>
      </c>
      <c r="X14" s="29" t="str">
        <f t="shared" si="6"/>
        <v/>
      </c>
      <c r="Y14" s="29" t="str">
        <f t="shared" si="24"/>
        <v/>
      </c>
      <c r="Z14" s="29" t="str">
        <f t="shared" si="24"/>
        <v/>
      </c>
      <c r="AA14" s="29" t="str">
        <f t="shared" si="24"/>
        <v/>
      </c>
      <c r="AB14" s="29" t="str">
        <f t="shared" si="24"/>
        <v/>
      </c>
      <c r="AC14" s="29" t="str">
        <f t="shared" si="24"/>
        <v/>
      </c>
      <c r="AD14" s="29" t="str">
        <f t="shared" si="24"/>
        <v/>
      </c>
      <c r="AE14" s="29" t="str">
        <f t="shared" si="24"/>
        <v/>
      </c>
      <c r="AF14" s="29" t="str">
        <f t="shared" si="24"/>
        <v/>
      </c>
      <c r="AG14" s="29" t="str">
        <f t="shared" si="24"/>
        <v/>
      </c>
      <c r="AH14" s="29" t="str">
        <f t="shared" si="24"/>
        <v/>
      </c>
      <c r="AI14" s="29" t="str">
        <f t="shared" si="24"/>
        <v/>
      </c>
      <c r="AJ14" s="30" t="str">
        <f t="shared" si="8"/>
        <v/>
      </c>
      <c r="AL14" s="36">
        <f t="shared" si="2"/>
        <v>0</v>
      </c>
      <c r="AM14" s="36">
        <f t="shared" si="3"/>
        <v>0</v>
      </c>
      <c r="AN14" s="99" t="str">
        <f t="shared" si="25"/>
        <v/>
      </c>
      <c r="AO14" s="99" t="str">
        <f t="shared" si="26"/>
        <v/>
      </c>
      <c r="AP14" s="99" t="str">
        <f t="shared" si="27"/>
        <v/>
      </c>
      <c r="AQ14" s="99" t="str">
        <f t="shared" si="28"/>
        <v/>
      </c>
      <c r="AR14" s="99" t="str">
        <f t="shared" si="29"/>
        <v/>
      </c>
      <c r="AS14" s="99" t="str">
        <f t="shared" si="30"/>
        <v/>
      </c>
      <c r="AT14" s="99" t="str">
        <f t="shared" si="31"/>
        <v/>
      </c>
      <c r="AU14" s="99" t="str">
        <f t="shared" si="32"/>
        <v/>
      </c>
      <c r="AV14" s="99" t="str">
        <f t="shared" si="33"/>
        <v/>
      </c>
      <c r="AW14" s="99" t="str">
        <f t="shared" si="18"/>
        <v/>
      </c>
      <c r="AX14" s="99" t="str">
        <f t="shared" si="19"/>
        <v/>
      </c>
      <c r="AY14" s="99" t="str">
        <f t="shared" si="20"/>
        <v/>
      </c>
      <c r="AZ14" s="99" t="str">
        <f t="shared" si="21"/>
        <v/>
      </c>
      <c r="BA14" s="98" t="str">
        <f t="shared" si="22"/>
        <v/>
      </c>
    </row>
    <row r="15" spans="1:53" ht="14.5" x14ac:dyDescent="0.35">
      <c r="A15" s="118"/>
      <c r="B15" s="56"/>
      <c r="C15" s="50"/>
      <c r="D15" s="48"/>
      <c r="E15" s="50"/>
      <c r="F15" s="61"/>
      <c r="G15" s="48"/>
      <c r="H15" s="48"/>
      <c r="I15" s="48"/>
      <c r="J15" s="48"/>
      <c r="K15" s="48"/>
      <c r="L15" s="48"/>
      <c r="M15" s="81"/>
      <c r="N15" s="53"/>
      <c r="O15" s="53"/>
      <c r="P15" s="50"/>
      <c r="Q15" s="6"/>
      <c r="R15" s="70">
        <f t="shared" si="5"/>
        <v>0</v>
      </c>
      <c r="S15" s="87"/>
      <c r="T15" s="154"/>
      <c r="U15" s="154"/>
      <c r="V15" s="9"/>
      <c r="W15" s="27" t="str">
        <f t="shared" si="23"/>
        <v/>
      </c>
      <c r="X15" s="29" t="str">
        <f t="shared" si="6"/>
        <v/>
      </c>
      <c r="Y15" s="29" t="str">
        <f t="shared" si="24"/>
        <v/>
      </c>
      <c r="Z15" s="29" t="str">
        <f t="shared" si="24"/>
        <v/>
      </c>
      <c r="AA15" s="29" t="str">
        <f t="shared" si="24"/>
        <v/>
      </c>
      <c r="AB15" s="29" t="str">
        <f t="shared" si="24"/>
        <v/>
      </c>
      <c r="AC15" s="29" t="str">
        <f t="shared" si="24"/>
        <v/>
      </c>
      <c r="AD15" s="29" t="str">
        <f t="shared" si="24"/>
        <v/>
      </c>
      <c r="AE15" s="29" t="str">
        <f t="shared" si="24"/>
        <v/>
      </c>
      <c r="AF15" s="29" t="str">
        <f t="shared" si="24"/>
        <v/>
      </c>
      <c r="AG15" s="29" t="str">
        <f t="shared" si="24"/>
        <v/>
      </c>
      <c r="AH15" s="29" t="str">
        <f t="shared" si="24"/>
        <v/>
      </c>
      <c r="AI15" s="29" t="str">
        <f t="shared" si="24"/>
        <v/>
      </c>
      <c r="AJ15" s="30" t="str">
        <f t="shared" si="8"/>
        <v/>
      </c>
      <c r="AL15" s="36">
        <f t="shared" si="2"/>
        <v>0</v>
      </c>
      <c r="AM15" s="36">
        <f t="shared" si="3"/>
        <v>0</v>
      </c>
      <c r="AN15" s="99" t="str">
        <f t="shared" si="25"/>
        <v/>
      </c>
      <c r="AO15" s="99" t="str">
        <f t="shared" si="26"/>
        <v/>
      </c>
      <c r="AP15" s="99" t="str">
        <f t="shared" si="27"/>
        <v/>
      </c>
      <c r="AQ15" s="99" t="str">
        <f t="shared" si="28"/>
        <v/>
      </c>
      <c r="AR15" s="99" t="str">
        <f t="shared" si="29"/>
        <v/>
      </c>
      <c r="AS15" s="99" t="str">
        <f t="shared" si="30"/>
        <v/>
      </c>
      <c r="AT15" s="99" t="str">
        <f t="shared" si="31"/>
        <v/>
      </c>
      <c r="AU15" s="99" t="str">
        <f t="shared" si="32"/>
        <v/>
      </c>
      <c r="AV15" s="99" t="str">
        <f t="shared" si="33"/>
        <v/>
      </c>
      <c r="AW15" s="99" t="str">
        <f t="shared" si="18"/>
        <v/>
      </c>
      <c r="AX15" s="99" t="str">
        <f t="shared" si="19"/>
        <v/>
      </c>
      <c r="AY15" s="99" t="str">
        <f t="shared" si="20"/>
        <v/>
      </c>
      <c r="AZ15" s="99" t="str">
        <f t="shared" si="21"/>
        <v/>
      </c>
      <c r="BA15" s="98" t="str">
        <f t="shared" si="22"/>
        <v/>
      </c>
    </row>
    <row r="16" spans="1:53" thickBot="1" x14ac:dyDescent="0.4">
      <c r="A16" s="119"/>
      <c r="B16" s="57"/>
      <c r="C16" s="58"/>
      <c r="D16" s="49"/>
      <c r="E16" s="58"/>
      <c r="F16" s="62"/>
      <c r="G16" s="49"/>
      <c r="H16" s="49"/>
      <c r="I16" s="49"/>
      <c r="J16" s="49"/>
      <c r="K16" s="49"/>
      <c r="L16" s="49"/>
      <c r="M16" s="82"/>
      <c r="N16" s="54"/>
      <c r="O16" s="54"/>
      <c r="P16" s="58"/>
      <c r="Q16" s="7"/>
      <c r="R16" s="103">
        <f t="shared" si="5"/>
        <v>0</v>
      </c>
      <c r="S16" s="88"/>
      <c r="T16" s="155"/>
      <c r="U16" s="155"/>
      <c r="V16" s="9"/>
      <c r="W16" s="27" t="str">
        <f t="shared" si="23"/>
        <v/>
      </c>
      <c r="X16" s="29" t="str">
        <f t="shared" si="6"/>
        <v/>
      </c>
      <c r="Y16" s="29" t="str">
        <f t="shared" si="24"/>
        <v/>
      </c>
      <c r="Z16" s="29" t="str">
        <f t="shared" si="24"/>
        <v/>
      </c>
      <c r="AA16" s="29" t="str">
        <f t="shared" si="24"/>
        <v/>
      </c>
      <c r="AB16" s="29" t="str">
        <f t="shared" si="24"/>
        <v/>
      </c>
      <c r="AC16" s="29" t="str">
        <f t="shared" si="24"/>
        <v/>
      </c>
      <c r="AD16" s="29" t="str">
        <f t="shared" si="24"/>
        <v/>
      </c>
      <c r="AE16" s="29" t="str">
        <f t="shared" si="24"/>
        <v/>
      </c>
      <c r="AF16" s="29" t="str">
        <f t="shared" si="24"/>
        <v/>
      </c>
      <c r="AG16" s="29" t="str">
        <f t="shared" si="24"/>
        <v/>
      </c>
      <c r="AH16" s="29" t="str">
        <f t="shared" si="24"/>
        <v/>
      </c>
      <c r="AI16" s="29" t="str">
        <f t="shared" si="24"/>
        <v/>
      </c>
      <c r="AJ16" s="30" t="str">
        <f t="shared" si="8"/>
        <v/>
      </c>
      <c r="AL16" s="36">
        <f t="shared" si="2"/>
        <v>0</v>
      </c>
      <c r="AM16" s="36">
        <f t="shared" si="3"/>
        <v>0</v>
      </c>
      <c r="AN16" s="99" t="str">
        <f t="shared" si="25"/>
        <v/>
      </c>
      <c r="AO16" s="99" t="str">
        <f t="shared" si="26"/>
        <v/>
      </c>
      <c r="AP16" s="99" t="str">
        <f t="shared" si="27"/>
        <v/>
      </c>
      <c r="AQ16" s="99" t="str">
        <f t="shared" si="28"/>
        <v/>
      </c>
      <c r="AR16" s="99" t="str">
        <f t="shared" si="29"/>
        <v/>
      </c>
      <c r="AS16" s="99" t="str">
        <f t="shared" si="30"/>
        <v/>
      </c>
      <c r="AT16" s="99" t="str">
        <f t="shared" si="31"/>
        <v/>
      </c>
      <c r="AU16" s="99" t="str">
        <f t="shared" si="32"/>
        <v/>
      </c>
      <c r="AV16" s="99" t="str">
        <f t="shared" si="33"/>
        <v/>
      </c>
      <c r="AW16" s="99" t="str">
        <f t="shared" si="18"/>
        <v/>
      </c>
      <c r="AX16" s="99" t="str">
        <f t="shared" si="19"/>
        <v/>
      </c>
      <c r="AY16" s="99" t="str">
        <f t="shared" si="20"/>
        <v/>
      </c>
      <c r="AZ16" s="99" t="str">
        <f t="shared" si="21"/>
        <v/>
      </c>
      <c r="BA16" s="98" t="str">
        <f t="shared" si="22"/>
        <v/>
      </c>
    </row>
    <row r="17" spans="1:53" ht="14.5" x14ac:dyDescent="0.35">
      <c r="A17" s="113">
        <v>3</v>
      </c>
      <c r="B17" s="2"/>
      <c r="C17" s="69"/>
      <c r="D17" s="60"/>
      <c r="E17" s="69"/>
      <c r="F17" s="59"/>
      <c r="G17" s="60"/>
      <c r="H17" s="60"/>
      <c r="I17" s="60"/>
      <c r="J17" s="60"/>
      <c r="K17" s="60"/>
      <c r="L17" s="60"/>
      <c r="M17" s="80"/>
      <c r="N17" s="79"/>
      <c r="O17" s="79"/>
      <c r="P17" s="69"/>
      <c r="Q17" s="8"/>
      <c r="R17" s="70">
        <f t="shared" si="5"/>
        <v>0</v>
      </c>
      <c r="S17" s="87"/>
      <c r="T17" s="153"/>
      <c r="U17" s="153"/>
      <c r="V17" s="9"/>
      <c r="W17" s="27" t="str">
        <f t="shared" si="23"/>
        <v/>
      </c>
      <c r="X17" s="29" t="str">
        <f t="shared" si="6"/>
        <v/>
      </c>
      <c r="Y17" s="29" t="str">
        <f t="shared" si="24"/>
        <v/>
      </c>
      <c r="Z17" s="29" t="str">
        <f t="shared" si="24"/>
        <v/>
      </c>
      <c r="AA17" s="29" t="str">
        <f t="shared" si="24"/>
        <v/>
      </c>
      <c r="AB17" s="29" t="str">
        <f t="shared" si="24"/>
        <v/>
      </c>
      <c r="AC17" s="29" t="str">
        <f t="shared" si="24"/>
        <v/>
      </c>
      <c r="AD17" s="29" t="str">
        <f t="shared" si="24"/>
        <v/>
      </c>
      <c r="AE17" s="29" t="str">
        <f t="shared" si="24"/>
        <v/>
      </c>
      <c r="AF17" s="29" t="str">
        <f t="shared" si="24"/>
        <v/>
      </c>
      <c r="AG17" s="29" t="str">
        <f t="shared" si="24"/>
        <v/>
      </c>
      <c r="AH17" s="29" t="str">
        <f t="shared" si="24"/>
        <v/>
      </c>
      <c r="AI17" s="29" t="str">
        <f t="shared" si="24"/>
        <v/>
      </c>
      <c r="AJ17" s="30" t="str">
        <f t="shared" si="8"/>
        <v/>
      </c>
      <c r="AL17" s="36">
        <f t="shared" si="2"/>
        <v>0</v>
      </c>
      <c r="AM17" s="36">
        <f t="shared" si="3"/>
        <v>0</v>
      </c>
      <c r="AN17" s="99" t="str">
        <f t="shared" si="9"/>
        <v/>
      </c>
      <c r="AO17" s="99" t="str">
        <f t="shared" si="10"/>
        <v/>
      </c>
      <c r="AP17" s="99" t="str">
        <f t="shared" si="11"/>
        <v/>
      </c>
      <c r="AQ17" s="99" t="str">
        <f t="shared" si="12"/>
        <v/>
      </c>
      <c r="AR17" s="99" t="str">
        <f t="shared" si="13"/>
        <v/>
      </c>
      <c r="AS17" s="99" t="str">
        <f t="shared" si="14"/>
        <v/>
      </c>
      <c r="AT17" s="99" t="str">
        <f t="shared" si="15"/>
        <v/>
      </c>
      <c r="AU17" s="99" t="str">
        <f t="shared" si="16"/>
        <v/>
      </c>
      <c r="AV17" s="99" t="str">
        <f t="shared" si="17"/>
        <v/>
      </c>
      <c r="AW17" s="99" t="str">
        <f t="shared" si="18"/>
        <v/>
      </c>
      <c r="AX17" s="99" t="str">
        <f t="shared" si="19"/>
        <v/>
      </c>
      <c r="AY17" s="99" t="str">
        <f t="shared" si="20"/>
        <v/>
      </c>
      <c r="AZ17" s="99" t="str">
        <f t="shared" si="21"/>
        <v/>
      </c>
      <c r="BA17" s="98" t="str">
        <f t="shared" si="22"/>
        <v/>
      </c>
    </row>
    <row r="18" spans="1:53" ht="14.5" x14ac:dyDescent="0.35">
      <c r="A18" s="113"/>
      <c r="B18" s="3"/>
      <c r="C18" s="50"/>
      <c r="D18" s="48"/>
      <c r="E18" s="50"/>
      <c r="F18" s="61"/>
      <c r="G18" s="48"/>
      <c r="H18" s="48"/>
      <c r="I18" s="48"/>
      <c r="J18" s="48"/>
      <c r="K18" s="48"/>
      <c r="L18" s="48"/>
      <c r="M18" s="81"/>
      <c r="N18" s="53"/>
      <c r="O18" s="53"/>
      <c r="P18" s="50"/>
      <c r="Q18" s="6"/>
      <c r="R18" s="70">
        <f t="shared" si="5"/>
        <v>0</v>
      </c>
      <c r="S18" s="87"/>
      <c r="T18" s="154"/>
      <c r="U18" s="154"/>
      <c r="V18" s="9"/>
      <c r="W18" s="27" t="str">
        <f t="shared" si="23"/>
        <v/>
      </c>
      <c r="X18" s="29" t="str">
        <f t="shared" si="6"/>
        <v/>
      </c>
      <c r="Y18" s="29" t="str">
        <f t="shared" si="24"/>
        <v/>
      </c>
      <c r="Z18" s="29" t="str">
        <f t="shared" si="24"/>
        <v/>
      </c>
      <c r="AA18" s="29" t="str">
        <f t="shared" si="24"/>
        <v/>
      </c>
      <c r="AB18" s="29" t="str">
        <f t="shared" si="24"/>
        <v/>
      </c>
      <c r="AC18" s="29" t="str">
        <f t="shared" si="24"/>
        <v/>
      </c>
      <c r="AD18" s="29" t="str">
        <f t="shared" si="24"/>
        <v/>
      </c>
      <c r="AE18" s="29" t="str">
        <f t="shared" si="24"/>
        <v/>
      </c>
      <c r="AF18" s="29" t="str">
        <f t="shared" si="24"/>
        <v/>
      </c>
      <c r="AG18" s="29" t="str">
        <f t="shared" si="24"/>
        <v/>
      </c>
      <c r="AH18" s="29" t="str">
        <f t="shared" si="24"/>
        <v/>
      </c>
      <c r="AI18" s="29" t="str">
        <f t="shared" si="24"/>
        <v/>
      </c>
      <c r="AJ18" s="30" t="str">
        <f t="shared" si="8"/>
        <v/>
      </c>
      <c r="AL18" s="36">
        <f t="shared" si="2"/>
        <v>0</v>
      </c>
      <c r="AM18" s="36">
        <f t="shared" si="3"/>
        <v>0</v>
      </c>
      <c r="AN18" s="99" t="str">
        <f t="shared" si="9"/>
        <v/>
      </c>
      <c r="AO18" s="99" t="str">
        <f t="shared" si="10"/>
        <v/>
      </c>
      <c r="AP18" s="99" t="str">
        <f t="shared" si="11"/>
        <v/>
      </c>
      <c r="AQ18" s="99" t="str">
        <f t="shared" si="12"/>
        <v/>
      </c>
      <c r="AR18" s="99" t="str">
        <f t="shared" si="13"/>
        <v/>
      </c>
      <c r="AS18" s="99" t="str">
        <f t="shared" si="14"/>
        <v/>
      </c>
      <c r="AT18" s="99" t="str">
        <f t="shared" si="15"/>
        <v/>
      </c>
      <c r="AU18" s="99" t="str">
        <f t="shared" si="16"/>
        <v/>
      </c>
      <c r="AV18" s="99" t="str">
        <f t="shared" si="17"/>
        <v/>
      </c>
      <c r="AW18" s="99" t="str">
        <f t="shared" si="18"/>
        <v/>
      </c>
      <c r="AX18" s="99" t="str">
        <f t="shared" si="19"/>
        <v/>
      </c>
      <c r="AY18" s="99" t="str">
        <f t="shared" si="20"/>
        <v/>
      </c>
      <c r="AZ18" s="99" t="str">
        <f t="shared" si="21"/>
        <v/>
      </c>
      <c r="BA18" s="98" t="str">
        <f t="shared" si="22"/>
        <v/>
      </c>
    </row>
    <row r="19" spans="1:53" ht="14.5" x14ac:dyDescent="0.35">
      <c r="A19" s="113"/>
      <c r="B19" s="3"/>
      <c r="C19" s="50"/>
      <c r="D19" s="48"/>
      <c r="E19" s="50"/>
      <c r="F19" s="61"/>
      <c r="G19" s="48"/>
      <c r="H19" s="48"/>
      <c r="I19" s="48"/>
      <c r="J19" s="48"/>
      <c r="K19" s="48"/>
      <c r="L19" s="48"/>
      <c r="M19" s="81"/>
      <c r="N19" s="53"/>
      <c r="O19" s="53"/>
      <c r="P19" s="50"/>
      <c r="Q19" s="6"/>
      <c r="R19" s="70">
        <f t="shared" si="5"/>
        <v>0</v>
      </c>
      <c r="S19" s="87"/>
      <c r="T19" s="154"/>
      <c r="U19" s="154"/>
      <c r="V19" s="9"/>
      <c r="W19" s="27" t="str">
        <f t="shared" si="23"/>
        <v/>
      </c>
      <c r="X19" s="29" t="str">
        <f t="shared" si="6"/>
        <v/>
      </c>
      <c r="Y19" s="29" t="str">
        <f t="shared" ref="Y19:AI28" si="34">IF(AND(Y$3&lt;&gt;"",$W19&lt;&gt;""),ROUND(2*($R19*(COUNT($X$3:$AI$3)+1)-$W19)*Y$3,0)/2,"")</f>
        <v/>
      </c>
      <c r="Z19" s="29" t="str">
        <f t="shared" si="34"/>
        <v/>
      </c>
      <c r="AA19" s="29" t="str">
        <f t="shared" si="34"/>
        <v/>
      </c>
      <c r="AB19" s="29" t="str">
        <f t="shared" si="34"/>
        <v/>
      </c>
      <c r="AC19" s="29" t="str">
        <f t="shared" si="34"/>
        <v/>
      </c>
      <c r="AD19" s="29" t="str">
        <f t="shared" si="34"/>
        <v/>
      </c>
      <c r="AE19" s="29" t="str">
        <f t="shared" si="34"/>
        <v/>
      </c>
      <c r="AF19" s="29" t="str">
        <f t="shared" si="34"/>
        <v/>
      </c>
      <c r="AG19" s="29" t="str">
        <f t="shared" si="34"/>
        <v/>
      </c>
      <c r="AH19" s="29" t="str">
        <f t="shared" si="34"/>
        <v/>
      </c>
      <c r="AI19" s="29" t="str">
        <f t="shared" si="34"/>
        <v/>
      </c>
      <c r="AJ19" s="30" t="str">
        <f t="shared" si="8"/>
        <v/>
      </c>
      <c r="AL19" s="36">
        <f t="shared" si="2"/>
        <v>0</v>
      </c>
      <c r="AM19" s="36">
        <f t="shared" si="3"/>
        <v>0</v>
      </c>
      <c r="AN19" s="99" t="str">
        <f t="shared" si="9"/>
        <v/>
      </c>
      <c r="AO19" s="99" t="str">
        <f t="shared" si="10"/>
        <v/>
      </c>
      <c r="AP19" s="99" t="str">
        <f t="shared" si="11"/>
        <v/>
      </c>
      <c r="AQ19" s="99" t="str">
        <f t="shared" si="12"/>
        <v/>
      </c>
      <c r="AR19" s="99" t="str">
        <f t="shared" si="13"/>
        <v/>
      </c>
      <c r="AS19" s="99" t="str">
        <f t="shared" si="14"/>
        <v/>
      </c>
      <c r="AT19" s="99" t="str">
        <f t="shared" si="15"/>
        <v/>
      </c>
      <c r="AU19" s="99" t="str">
        <f t="shared" si="16"/>
        <v/>
      </c>
      <c r="AV19" s="99" t="str">
        <f t="shared" si="17"/>
        <v/>
      </c>
      <c r="AW19" s="99" t="str">
        <f t="shared" si="18"/>
        <v/>
      </c>
      <c r="AX19" s="99" t="str">
        <f t="shared" si="19"/>
        <v/>
      </c>
      <c r="AY19" s="99" t="str">
        <f t="shared" si="20"/>
        <v/>
      </c>
      <c r="AZ19" s="99" t="str">
        <f t="shared" si="21"/>
        <v/>
      </c>
      <c r="BA19" s="98" t="str">
        <f t="shared" si="22"/>
        <v/>
      </c>
    </row>
    <row r="20" spans="1:53" ht="14.5" x14ac:dyDescent="0.35">
      <c r="A20" s="113"/>
      <c r="B20" s="3"/>
      <c r="C20" s="50"/>
      <c r="D20" s="48"/>
      <c r="E20" s="50"/>
      <c r="F20" s="61"/>
      <c r="G20" s="48"/>
      <c r="H20" s="48"/>
      <c r="I20" s="48"/>
      <c r="J20" s="48"/>
      <c r="K20" s="48"/>
      <c r="L20" s="48"/>
      <c r="M20" s="81"/>
      <c r="N20" s="53"/>
      <c r="O20" s="53"/>
      <c r="P20" s="50"/>
      <c r="Q20" s="6"/>
      <c r="R20" s="70">
        <f t="shared" si="5"/>
        <v>0</v>
      </c>
      <c r="S20" s="87"/>
      <c r="T20" s="154"/>
      <c r="U20" s="154"/>
      <c r="V20" s="9"/>
      <c r="W20" s="27" t="str">
        <f t="shared" si="23"/>
        <v/>
      </c>
      <c r="X20" s="29" t="str">
        <f t="shared" si="6"/>
        <v/>
      </c>
      <c r="Y20" s="29" t="str">
        <f t="shared" si="34"/>
        <v/>
      </c>
      <c r="Z20" s="29" t="str">
        <f t="shared" si="34"/>
        <v/>
      </c>
      <c r="AA20" s="29" t="str">
        <f t="shared" si="34"/>
        <v/>
      </c>
      <c r="AB20" s="29" t="str">
        <f t="shared" si="34"/>
        <v/>
      </c>
      <c r="AC20" s="29" t="str">
        <f t="shared" si="34"/>
        <v/>
      </c>
      <c r="AD20" s="29" t="str">
        <f t="shared" si="34"/>
        <v/>
      </c>
      <c r="AE20" s="29" t="str">
        <f t="shared" si="34"/>
        <v/>
      </c>
      <c r="AF20" s="29" t="str">
        <f t="shared" si="34"/>
        <v/>
      </c>
      <c r="AG20" s="29" t="str">
        <f t="shared" si="34"/>
        <v/>
      </c>
      <c r="AH20" s="29" t="str">
        <f t="shared" si="34"/>
        <v/>
      </c>
      <c r="AI20" s="29" t="str">
        <f t="shared" si="34"/>
        <v/>
      </c>
      <c r="AJ20" s="30" t="str">
        <f t="shared" si="8"/>
        <v/>
      </c>
      <c r="AL20" s="36">
        <f t="shared" si="2"/>
        <v>0</v>
      </c>
      <c r="AM20" s="36">
        <f t="shared" si="3"/>
        <v>0</v>
      </c>
      <c r="AN20" s="99" t="str">
        <f t="shared" si="9"/>
        <v/>
      </c>
      <c r="AO20" s="99" t="str">
        <f t="shared" si="10"/>
        <v/>
      </c>
      <c r="AP20" s="99" t="str">
        <f t="shared" si="11"/>
        <v/>
      </c>
      <c r="AQ20" s="99" t="str">
        <f t="shared" si="12"/>
        <v/>
      </c>
      <c r="AR20" s="99" t="str">
        <f t="shared" si="13"/>
        <v/>
      </c>
      <c r="AS20" s="99" t="str">
        <f t="shared" si="14"/>
        <v/>
      </c>
      <c r="AT20" s="99" t="str">
        <f t="shared" si="15"/>
        <v/>
      </c>
      <c r="AU20" s="99" t="str">
        <f t="shared" si="16"/>
        <v/>
      </c>
      <c r="AV20" s="99" t="str">
        <f t="shared" si="17"/>
        <v/>
      </c>
      <c r="AW20" s="99" t="str">
        <f t="shared" si="18"/>
        <v/>
      </c>
      <c r="AX20" s="99" t="str">
        <f t="shared" si="19"/>
        <v/>
      </c>
      <c r="AY20" s="99" t="str">
        <f t="shared" si="20"/>
        <v/>
      </c>
      <c r="AZ20" s="99" t="str">
        <f t="shared" si="21"/>
        <v/>
      </c>
      <c r="BA20" s="98" t="str">
        <f t="shared" si="22"/>
        <v/>
      </c>
    </row>
    <row r="21" spans="1:53" ht="14.5" x14ac:dyDescent="0.35">
      <c r="A21" s="113"/>
      <c r="B21" s="3"/>
      <c r="C21" s="50"/>
      <c r="D21" s="48"/>
      <c r="E21" s="50"/>
      <c r="F21" s="61"/>
      <c r="G21" s="48"/>
      <c r="H21" s="48"/>
      <c r="I21" s="48"/>
      <c r="J21" s="48"/>
      <c r="K21" s="48"/>
      <c r="L21" s="48"/>
      <c r="M21" s="81"/>
      <c r="N21" s="53"/>
      <c r="O21" s="53"/>
      <c r="P21" s="50"/>
      <c r="Q21" s="6"/>
      <c r="R21" s="70">
        <f t="shared" si="5"/>
        <v>0</v>
      </c>
      <c r="S21" s="87"/>
      <c r="T21" s="154"/>
      <c r="U21" s="154"/>
      <c r="V21" s="9"/>
      <c r="W21" s="27" t="str">
        <f t="shared" si="23"/>
        <v/>
      </c>
      <c r="X21" s="29" t="str">
        <f t="shared" si="6"/>
        <v/>
      </c>
      <c r="Y21" s="29" t="str">
        <f t="shared" si="34"/>
        <v/>
      </c>
      <c r="Z21" s="29" t="str">
        <f t="shared" si="34"/>
        <v/>
      </c>
      <c r="AA21" s="29" t="str">
        <f t="shared" si="34"/>
        <v/>
      </c>
      <c r="AB21" s="29" t="str">
        <f t="shared" si="34"/>
        <v/>
      </c>
      <c r="AC21" s="29" t="str">
        <f t="shared" si="34"/>
        <v/>
      </c>
      <c r="AD21" s="29" t="str">
        <f t="shared" si="34"/>
        <v/>
      </c>
      <c r="AE21" s="29" t="str">
        <f t="shared" si="34"/>
        <v/>
      </c>
      <c r="AF21" s="29" t="str">
        <f t="shared" si="34"/>
        <v/>
      </c>
      <c r="AG21" s="29" t="str">
        <f t="shared" si="34"/>
        <v/>
      </c>
      <c r="AH21" s="29" t="str">
        <f t="shared" si="34"/>
        <v/>
      </c>
      <c r="AI21" s="29" t="str">
        <f t="shared" si="34"/>
        <v/>
      </c>
      <c r="AJ21" s="30" t="str">
        <f t="shared" si="8"/>
        <v/>
      </c>
      <c r="AL21" s="36">
        <f t="shared" si="2"/>
        <v>0</v>
      </c>
      <c r="AM21" s="36">
        <f t="shared" si="3"/>
        <v>0</v>
      </c>
      <c r="AN21" s="99" t="str">
        <f t="shared" si="9"/>
        <v/>
      </c>
      <c r="AO21" s="99" t="str">
        <f t="shared" si="10"/>
        <v/>
      </c>
      <c r="AP21" s="99" t="str">
        <f t="shared" si="11"/>
        <v/>
      </c>
      <c r="AQ21" s="99" t="str">
        <f t="shared" si="12"/>
        <v/>
      </c>
      <c r="AR21" s="99" t="str">
        <f t="shared" si="13"/>
        <v/>
      </c>
      <c r="AS21" s="99" t="str">
        <f t="shared" si="14"/>
        <v/>
      </c>
      <c r="AT21" s="99" t="str">
        <f t="shared" si="15"/>
        <v/>
      </c>
      <c r="AU21" s="99" t="str">
        <f t="shared" si="16"/>
        <v/>
      </c>
      <c r="AV21" s="99" t="str">
        <f t="shared" si="17"/>
        <v/>
      </c>
      <c r="AW21" s="99" t="str">
        <f t="shared" si="18"/>
        <v/>
      </c>
      <c r="AX21" s="99" t="str">
        <f t="shared" si="19"/>
        <v/>
      </c>
      <c r="AY21" s="99" t="str">
        <f t="shared" si="20"/>
        <v/>
      </c>
      <c r="AZ21" s="99" t="str">
        <f t="shared" si="21"/>
        <v/>
      </c>
      <c r="BA21" s="98" t="str">
        <f t="shared" si="22"/>
        <v/>
      </c>
    </row>
    <row r="22" spans="1:53" thickBot="1" x14ac:dyDescent="0.4">
      <c r="A22" s="114"/>
      <c r="B22" s="4"/>
      <c r="C22" s="58"/>
      <c r="D22" s="49"/>
      <c r="E22" s="58"/>
      <c r="F22" s="62"/>
      <c r="G22" s="49"/>
      <c r="H22" s="49"/>
      <c r="I22" s="49"/>
      <c r="J22" s="49"/>
      <c r="K22" s="49"/>
      <c r="L22" s="49"/>
      <c r="M22" s="82"/>
      <c r="N22" s="54"/>
      <c r="O22" s="54"/>
      <c r="P22" s="58"/>
      <c r="Q22" s="7"/>
      <c r="R22" s="101">
        <f t="shared" si="5"/>
        <v>0</v>
      </c>
      <c r="S22" s="88"/>
      <c r="T22" s="155"/>
      <c r="U22" s="155"/>
      <c r="V22" s="9"/>
      <c r="W22" s="27" t="str">
        <f t="shared" si="23"/>
        <v/>
      </c>
      <c r="X22" s="29" t="str">
        <f t="shared" si="6"/>
        <v/>
      </c>
      <c r="Y22" s="29" t="str">
        <f t="shared" si="34"/>
        <v/>
      </c>
      <c r="Z22" s="29" t="str">
        <f t="shared" si="34"/>
        <v/>
      </c>
      <c r="AA22" s="29" t="str">
        <f t="shared" si="34"/>
        <v/>
      </c>
      <c r="AB22" s="29" t="str">
        <f t="shared" si="34"/>
        <v/>
      </c>
      <c r="AC22" s="29" t="str">
        <f t="shared" si="34"/>
        <v/>
      </c>
      <c r="AD22" s="29" t="str">
        <f t="shared" si="34"/>
        <v/>
      </c>
      <c r="AE22" s="29" t="str">
        <f t="shared" si="34"/>
        <v/>
      </c>
      <c r="AF22" s="29" t="str">
        <f t="shared" si="34"/>
        <v/>
      </c>
      <c r="AG22" s="29" t="str">
        <f t="shared" si="34"/>
        <v/>
      </c>
      <c r="AH22" s="29" t="str">
        <f t="shared" si="34"/>
        <v/>
      </c>
      <c r="AI22" s="29" t="str">
        <f t="shared" si="34"/>
        <v/>
      </c>
      <c r="AJ22" s="30" t="str">
        <f t="shared" si="8"/>
        <v/>
      </c>
      <c r="AL22" s="36">
        <f t="shared" si="2"/>
        <v>0</v>
      </c>
      <c r="AM22" s="36">
        <f t="shared" si="3"/>
        <v>0</v>
      </c>
      <c r="AN22" s="99" t="str">
        <f t="shared" si="9"/>
        <v/>
      </c>
      <c r="AO22" s="99" t="str">
        <f t="shared" si="10"/>
        <v/>
      </c>
      <c r="AP22" s="99" t="str">
        <f t="shared" si="11"/>
        <v/>
      </c>
      <c r="AQ22" s="99" t="str">
        <f t="shared" si="12"/>
        <v/>
      </c>
      <c r="AR22" s="99" t="str">
        <f t="shared" si="13"/>
        <v/>
      </c>
      <c r="AS22" s="99" t="str">
        <f t="shared" si="14"/>
        <v/>
      </c>
      <c r="AT22" s="99" t="str">
        <f t="shared" si="15"/>
        <v/>
      </c>
      <c r="AU22" s="99" t="str">
        <f t="shared" si="16"/>
        <v/>
      </c>
      <c r="AV22" s="99" t="str">
        <f t="shared" si="17"/>
        <v/>
      </c>
      <c r="AW22" s="99" t="str">
        <f t="shared" si="18"/>
        <v/>
      </c>
      <c r="AX22" s="99" t="str">
        <f t="shared" si="19"/>
        <v/>
      </c>
      <c r="AY22" s="99" t="str">
        <f t="shared" si="20"/>
        <v/>
      </c>
      <c r="AZ22" s="99" t="str">
        <f t="shared" si="21"/>
        <v/>
      </c>
      <c r="BA22" s="98" t="str">
        <f t="shared" si="22"/>
        <v/>
      </c>
    </row>
    <row r="23" spans="1:53" ht="14.5" x14ac:dyDescent="0.35">
      <c r="A23" s="112">
        <v>4</v>
      </c>
      <c r="B23" s="5"/>
      <c r="C23" s="69"/>
      <c r="D23" s="60"/>
      <c r="E23" s="69"/>
      <c r="F23" s="59"/>
      <c r="G23" s="60"/>
      <c r="H23" s="60"/>
      <c r="I23" s="60"/>
      <c r="J23" s="60"/>
      <c r="K23" s="60"/>
      <c r="L23" s="60"/>
      <c r="M23" s="80"/>
      <c r="N23" s="79"/>
      <c r="O23" s="79"/>
      <c r="P23" s="69"/>
      <c r="Q23" s="8"/>
      <c r="R23" s="102">
        <f t="shared" si="5"/>
        <v>0</v>
      </c>
      <c r="S23" s="87"/>
      <c r="T23" s="157"/>
      <c r="U23" s="153"/>
      <c r="V23" s="9"/>
      <c r="W23" s="27" t="str">
        <f t="shared" si="23"/>
        <v/>
      </c>
      <c r="X23" s="29" t="str">
        <f t="shared" si="6"/>
        <v/>
      </c>
      <c r="Y23" s="29" t="str">
        <f t="shared" si="34"/>
        <v/>
      </c>
      <c r="Z23" s="29" t="str">
        <f t="shared" si="34"/>
        <v/>
      </c>
      <c r="AA23" s="29" t="str">
        <f t="shared" si="34"/>
        <v/>
      </c>
      <c r="AB23" s="29" t="str">
        <f t="shared" si="34"/>
        <v/>
      </c>
      <c r="AC23" s="29" t="str">
        <f t="shared" si="34"/>
        <v/>
      </c>
      <c r="AD23" s="29" t="str">
        <f t="shared" si="34"/>
        <v/>
      </c>
      <c r="AE23" s="29" t="str">
        <f t="shared" si="34"/>
        <v/>
      </c>
      <c r="AF23" s="29" t="str">
        <f t="shared" si="34"/>
        <v/>
      </c>
      <c r="AG23" s="29" t="str">
        <f t="shared" si="34"/>
        <v/>
      </c>
      <c r="AH23" s="29" t="str">
        <f t="shared" si="34"/>
        <v/>
      </c>
      <c r="AI23" s="29" t="str">
        <f t="shared" si="34"/>
        <v/>
      </c>
      <c r="AJ23" s="30" t="str">
        <f t="shared" si="8"/>
        <v/>
      </c>
      <c r="AL23" s="36">
        <f t="shared" si="2"/>
        <v>0</v>
      </c>
      <c r="AM23" s="36">
        <f t="shared" si="3"/>
        <v>0</v>
      </c>
      <c r="AN23" s="99" t="str">
        <f t="shared" si="9"/>
        <v/>
      </c>
      <c r="AO23" s="99" t="str">
        <f t="shared" si="10"/>
        <v/>
      </c>
      <c r="AP23" s="99" t="str">
        <f t="shared" si="11"/>
        <v/>
      </c>
      <c r="AQ23" s="99" t="str">
        <f t="shared" si="12"/>
        <v/>
      </c>
      <c r="AR23" s="99" t="str">
        <f t="shared" si="13"/>
        <v/>
      </c>
      <c r="AS23" s="99" t="str">
        <f t="shared" si="14"/>
        <v/>
      </c>
      <c r="AT23" s="99" t="str">
        <f t="shared" si="15"/>
        <v/>
      </c>
      <c r="AU23" s="99" t="str">
        <f t="shared" si="16"/>
        <v/>
      </c>
      <c r="AV23" s="99" t="str">
        <f t="shared" si="17"/>
        <v/>
      </c>
      <c r="AW23" s="99" t="str">
        <f t="shared" si="18"/>
        <v/>
      </c>
      <c r="AX23" s="99" t="str">
        <f t="shared" si="19"/>
        <v/>
      </c>
      <c r="AY23" s="99" t="str">
        <f t="shared" si="20"/>
        <v/>
      </c>
      <c r="AZ23" s="99" t="str">
        <f t="shared" si="21"/>
        <v/>
      </c>
      <c r="BA23" s="98" t="str">
        <f t="shared" si="22"/>
        <v/>
      </c>
    </row>
    <row r="24" spans="1:53" ht="14.5" x14ac:dyDescent="0.35">
      <c r="A24" s="113"/>
      <c r="B24" s="3"/>
      <c r="C24" s="50"/>
      <c r="D24" s="48"/>
      <c r="E24" s="50"/>
      <c r="F24" s="61"/>
      <c r="G24" s="48"/>
      <c r="H24" s="48"/>
      <c r="I24" s="48"/>
      <c r="J24" s="48"/>
      <c r="K24" s="48"/>
      <c r="L24" s="48"/>
      <c r="M24" s="81"/>
      <c r="N24" s="53"/>
      <c r="O24" s="53"/>
      <c r="P24" s="50"/>
      <c r="Q24" s="6"/>
      <c r="R24" s="70">
        <f t="shared" si="5"/>
        <v>0</v>
      </c>
      <c r="S24" s="87"/>
      <c r="T24" s="154"/>
      <c r="U24" s="154"/>
      <c r="V24" s="9"/>
      <c r="W24" s="27" t="str">
        <f t="shared" si="23"/>
        <v/>
      </c>
      <c r="X24" s="29" t="str">
        <f t="shared" si="6"/>
        <v/>
      </c>
      <c r="Y24" s="29" t="str">
        <f t="shared" si="34"/>
        <v/>
      </c>
      <c r="Z24" s="29" t="str">
        <f t="shared" si="34"/>
        <v/>
      </c>
      <c r="AA24" s="29" t="str">
        <f t="shared" si="34"/>
        <v/>
      </c>
      <c r="AB24" s="29" t="str">
        <f t="shared" si="34"/>
        <v/>
      </c>
      <c r="AC24" s="29" t="str">
        <f t="shared" si="34"/>
        <v/>
      </c>
      <c r="AD24" s="29" t="str">
        <f t="shared" si="34"/>
        <v/>
      </c>
      <c r="AE24" s="29" t="str">
        <f t="shared" si="34"/>
        <v/>
      </c>
      <c r="AF24" s="29" t="str">
        <f t="shared" si="34"/>
        <v/>
      </c>
      <c r="AG24" s="29" t="str">
        <f t="shared" si="34"/>
        <v/>
      </c>
      <c r="AH24" s="29" t="str">
        <f t="shared" si="34"/>
        <v/>
      </c>
      <c r="AI24" s="29" t="str">
        <f t="shared" si="34"/>
        <v/>
      </c>
      <c r="AJ24" s="30" t="str">
        <f t="shared" si="8"/>
        <v/>
      </c>
      <c r="AL24" s="36">
        <f t="shared" si="2"/>
        <v>0</v>
      </c>
      <c r="AM24" s="36">
        <f t="shared" si="3"/>
        <v>0</v>
      </c>
      <c r="AN24" s="99" t="str">
        <f t="shared" si="9"/>
        <v/>
      </c>
      <c r="AO24" s="99" t="str">
        <f t="shared" si="10"/>
        <v/>
      </c>
      <c r="AP24" s="99" t="str">
        <f t="shared" si="11"/>
        <v/>
      </c>
      <c r="AQ24" s="99" t="str">
        <f t="shared" si="12"/>
        <v/>
      </c>
      <c r="AR24" s="99" t="str">
        <f t="shared" si="13"/>
        <v/>
      </c>
      <c r="AS24" s="99" t="str">
        <f t="shared" si="14"/>
        <v/>
      </c>
      <c r="AT24" s="99" t="str">
        <f t="shared" si="15"/>
        <v/>
      </c>
      <c r="AU24" s="99" t="str">
        <f t="shared" si="16"/>
        <v/>
      </c>
      <c r="AV24" s="99" t="str">
        <f t="shared" si="17"/>
        <v/>
      </c>
      <c r="AW24" s="99" t="str">
        <f t="shared" si="18"/>
        <v/>
      </c>
      <c r="AX24" s="99" t="str">
        <f t="shared" si="19"/>
        <v/>
      </c>
      <c r="AY24" s="99" t="str">
        <f t="shared" si="20"/>
        <v/>
      </c>
      <c r="AZ24" s="99" t="str">
        <f t="shared" si="21"/>
        <v/>
      </c>
      <c r="BA24" s="98" t="str">
        <f t="shared" si="22"/>
        <v/>
      </c>
    </row>
    <row r="25" spans="1:53" ht="14.5" x14ac:dyDescent="0.35">
      <c r="A25" s="113"/>
      <c r="B25" s="3"/>
      <c r="C25" s="50"/>
      <c r="D25" s="48"/>
      <c r="E25" s="50"/>
      <c r="F25" s="61"/>
      <c r="G25" s="48"/>
      <c r="H25" s="48"/>
      <c r="I25" s="48"/>
      <c r="J25" s="48"/>
      <c r="K25" s="48"/>
      <c r="L25" s="48"/>
      <c r="M25" s="81"/>
      <c r="N25" s="53"/>
      <c r="O25" s="53"/>
      <c r="P25" s="50"/>
      <c r="Q25" s="6"/>
      <c r="R25" s="70">
        <f t="shared" si="5"/>
        <v>0</v>
      </c>
      <c r="S25" s="87"/>
      <c r="T25" s="154"/>
      <c r="U25" s="154"/>
      <c r="V25" s="9"/>
      <c r="W25" s="27" t="str">
        <f t="shared" si="23"/>
        <v/>
      </c>
      <c r="X25" s="29" t="str">
        <f t="shared" si="6"/>
        <v/>
      </c>
      <c r="Y25" s="29" t="str">
        <f t="shared" si="34"/>
        <v/>
      </c>
      <c r="Z25" s="29" t="str">
        <f t="shared" si="34"/>
        <v/>
      </c>
      <c r="AA25" s="29" t="str">
        <f t="shared" si="34"/>
        <v/>
      </c>
      <c r="AB25" s="29" t="str">
        <f t="shared" si="34"/>
        <v/>
      </c>
      <c r="AC25" s="29" t="str">
        <f t="shared" si="34"/>
        <v/>
      </c>
      <c r="AD25" s="29" t="str">
        <f t="shared" si="34"/>
        <v/>
      </c>
      <c r="AE25" s="29" t="str">
        <f t="shared" si="34"/>
        <v/>
      </c>
      <c r="AF25" s="29" t="str">
        <f t="shared" si="34"/>
        <v/>
      </c>
      <c r="AG25" s="29" t="str">
        <f t="shared" si="34"/>
        <v/>
      </c>
      <c r="AH25" s="29" t="str">
        <f t="shared" si="34"/>
        <v/>
      </c>
      <c r="AI25" s="29" t="str">
        <f t="shared" si="34"/>
        <v/>
      </c>
      <c r="AJ25" s="30" t="str">
        <f t="shared" si="8"/>
        <v/>
      </c>
      <c r="AL25" s="36">
        <f t="shared" si="2"/>
        <v>0</v>
      </c>
      <c r="AM25" s="36">
        <f t="shared" si="3"/>
        <v>0</v>
      </c>
      <c r="AN25" s="99" t="str">
        <f t="shared" si="9"/>
        <v/>
      </c>
      <c r="AO25" s="99" t="str">
        <f t="shared" si="10"/>
        <v/>
      </c>
      <c r="AP25" s="99" t="str">
        <f t="shared" si="11"/>
        <v/>
      </c>
      <c r="AQ25" s="99" t="str">
        <f t="shared" si="12"/>
        <v/>
      </c>
      <c r="AR25" s="99" t="str">
        <f t="shared" si="13"/>
        <v/>
      </c>
      <c r="AS25" s="99" t="str">
        <f t="shared" si="14"/>
        <v/>
      </c>
      <c r="AT25" s="99" t="str">
        <f t="shared" si="15"/>
        <v/>
      </c>
      <c r="AU25" s="99" t="str">
        <f t="shared" si="16"/>
        <v/>
      </c>
      <c r="AV25" s="99" t="str">
        <f t="shared" si="17"/>
        <v/>
      </c>
      <c r="AW25" s="99" t="str">
        <f t="shared" si="18"/>
        <v/>
      </c>
      <c r="AX25" s="99" t="str">
        <f t="shared" si="19"/>
        <v/>
      </c>
      <c r="AY25" s="99" t="str">
        <f t="shared" si="20"/>
        <v/>
      </c>
      <c r="AZ25" s="99" t="str">
        <f t="shared" si="21"/>
        <v/>
      </c>
      <c r="BA25" s="98" t="str">
        <f t="shared" si="22"/>
        <v/>
      </c>
    </row>
    <row r="26" spans="1:53" ht="15" customHeight="1" x14ac:dyDescent="0.35">
      <c r="A26" s="113"/>
      <c r="B26" s="3"/>
      <c r="C26" s="50"/>
      <c r="D26" s="48"/>
      <c r="E26" s="50"/>
      <c r="F26" s="61"/>
      <c r="G26" s="48"/>
      <c r="H26" s="48"/>
      <c r="I26" s="48"/>
      <c r="J26" s="48"/>
      <c r="K26" s="48"/>
      <c r="L26" s="48"/>
      <c r="M26" s="81"/>
      <c r="N26" s="53"/>
      <c r="O26" s="53"/>
      <c r="P26" s="50"/>
      <c r="Q26" s="6"/>
      <c r="R26" s="70">
        <f t="shared" si="5"/>
        <v>0</v>
      </c>
      <c r="S26" s="87"/>
      <c r="T26" s="154"/>
      <c r="U26" s="154"/>
      <c r="V26" s="9"/>
      <c r="W26" s="27" t="str">
        <f t="shared" si="23"/>
        <v/>
      </c>
      <c r="X26" s="29" t="str">
        <f t="shared" ref="X26:X57" si="35">IF(AND(X$3&lt;&gt;"",$W26&lt;&gt;""),ROUND(2*($R26*(COUNT($X$3:$AI$3)+1)-$W26)*X$3,0)/2,"")</f>
        <v/>
      </c>
      <c r="Y26" s="29" t="str">
        <f t="shared" si="34"/>
        <v/>
      </c>
      <c r="Z26" s="29" t="str">
        <f t="shared" si="34"/>
        <v/>
      </c>
      <c r="AA26" s="29" t="str">
        <f t="shared" si="34"/>
        <v/>
      </c>
      <c r="AB26" s="29" t="str">
        <f t="shared" si="34"/>
        <v/>
      </c>
      <c r="AC26" s="29" t="str">
        <f t="shared" si="34"/>
        <v/>
      </c>
      <c r="AD26" s="29" t="str">
        <f t="shared" si="34"/>
        <v/>
      </c>
      <c r="AE26" s="29" t="str">
        <f t="shared" si="34"/>
        <v/>
      </c>
      <c r="AF26" s="29" t="str">
        <f t="shared" si="34"/>
        <v/>
      </c>
      <c r="AG26" s="29" t="str">
        <f t="shared" si="34"/>
        <v/>
      </c>
      <c r="AH26" s="29" t="str">
        <f t="shared" si="34"/>
        <v/>
      </c>
      <c r="AI26" s="29" t="str">
        <f t="shared" si="34"/>
        <v/>
      </c>
      <c r="AJ26" s="30" t="str">
        <f t="shared" si="8"/>
        <v/>
      </c>
      <c r="AL26" s="36">
        <f t="shared" si="2"/>
        <v>0</v>
      </c>
      <c r="AM26" s="36">
        <f t="shared" si="3"/>
        <v>0</v>
      </c>
      <c r="AN26" s="99" t="str">
        <f t="shared" si="9"/>
        <v/>
      </c>
      <c r="AO26" s="99" t="str">
        <f t="shared" si="10"/>
        <v/>
      </c>
      <c r="AP26" s="99" t="str">
        <f t="shared" si="11"/>
        <v/>
      </c>
      <c r="AQ26" s="99" t="str">
        <f t="shared" si="12"/>
        <v/>
      </c>
      <c r="AR26" s="99" t="str">
        <f t="shared" si="13"/>
        <v/>
      </c>
      <c r="AS26" s="99" t="str">
        <f t="shared" si="14"/>
        <v/>
      </c>
      <c r="AT26" s="99" t="str">
        <f t="shared" si="15"/>
        <v/>
      </c>
      <c r="AU26" s="99" t="str">
        <f t="shared" si="16"/>
        <v/>
      </c>
      <c r="AV26" s="99" t="str">
        <f t="shared" si="17"/>
        <v/>
      </c>
      <c r="AW26" s="99" t="str">
        <f t="shared" si="18"/>
        <v/>
      </c>
      <c r="AX26" s="99" t="str">
        <f t="shared" si="19"/>
        <v/>
      </c>
      <c r="AY26" s="99" t="str">
        <f t="shared" si="20"/>
        <v/>
      </c>
      <c r="AZ26" s="99" t="str">
        <f t="shared" si="21"/>
        <v/>
      </c>
      <c r="BA26" s="98" t="str">
        <f t="shared" si="22"/>
        <v/>
      </c>
    </row>
    <row r="27" spans="1:53" ht="15" customHeight="1" x14ac:dyDescent="0.35">
      <c r="A27" s="113"/>
      <c r="B27" s="3"/>
      <c r="C27" s="50"/>
      <c r="D27" s="48"/>
      <c r="E27" s="50"/>
      <c r="F27" s="61"/>
      <c r="G27" s="48"/>
      <c r="H27" s="48"/>
      <c r="I27" s="48"/>
      <c r="J27" s="48"/>
      <c r="K27" s="48"/>
      <c r="L27" s="48"/>
      <c r="M27" s="81"/>
      <c r="N27" s="53"/>
      <c r="O27" s="53"/>
      <c r="P27" s="50"/>
      <c r="Q27" s="6"/>
      <c r="R27" s="70">
        <f t="shared" si="5"/>
        <v>0</v>
      </c>
      <c r="S27" s="87"/>
      <c r="T27" s="154"/>
      <c r="U27" s="154"/>
      <c r="V27" s="9"/>
      <c r="W27" s="27" t="str">
        <f t="shared" si="23"/>
        <v/>
      </c>
      <c r="X27" s="29" t="str">
        <f t="shared" si="35"/>
        <v/>
      </c>
      <c r="Y27" s="29" t="str">
        <f t="shared" si="34"/>
        <v/>
      </c>
      <c r="Z27" s="29" t="str">
        <f t="shared" si="34"/>
        <v/>
      </c>
      <c r="AA27" s="29" t="str">
        <f t="shared" si="34"/>
        <v/>
      </c>
      <c r="AB27" s="29" t="str">
        <f t="shared" si="34"/>
        <v/>
      </c>
      <c r="AC27" s="29" t="str">
        <f t="shared" si="34"/>
        <v/>
      </c>
      <c r="AD27" s="29" t="str">
        <f t="shared" si="34"/>
        <v/>
      </c>
      <c r="AE27" s="29" t="str">
        <f t="shared" si="34"/>
        <v/>
      </c>
      <c r="AF27" s="29" t="str">
        <f t="shared" si="34"/>
        <v/>
      </c>
      <c r="AG27" s="29" t="str">
        <f t="shared" si="34"/>
        <v/>
      </c>
      <c r="AH27" s="29" t="str">
        <f t="shared" si="34"/>
        <v/>
      </c>
      <c r="AI27" s="29" t="str">
        <f t="shared" si="34"/>
        <v/>
      </c>
      <c r="AJ27" s="30" t="str">
        <f t="shared" si="8"/>
        <v/>
      </c>
      <c r="AL27" s="36">
        <f t="shared" si="2"/>
        <v>0</v>
      </c>
      <c r="AM27" s="36">
        <f t="shared" si="3"/>
        <v>0</v>
      </c>
      <c r="AN27" s="99" t="str">
        <f t="shared" si="9"/>
        <v/>
      </c>
      <c r="AO27" s="99" t="str">
        <f t="shared" si="10"/>
        <v/>
      </c>
      <c r="AP27" s="99" t="str">
        <f t="shared" si="11"/>
        <v/>
      </c>
      <c r="AQ27" s="99" t="str">
        <f t="shared" si="12"/>
        <v/>
      </c>
      <c r="AR27" s="99" t="str">
        <f t="shared" si="13"/>
        <v/>
      </c>
      <c r="AS27" s="99" t="str">
        <f t="shared" si="14"/>
        <v/>
      </c>
      <c r="AT27" s="99" t="str">
        <f t="shared" si="15"/>
        <v/>
      </c>
      <c r="AU27" s="99" t="str">
        <f t="shared" si="16"/>
        <v/>
      </c>
      <c r="AV27" s="99" t="str">
        <f t="shared" si="17"/>
        <v/>
      </c>
      <c r="AW27" s="99" t="str">
        <f t="shared" si="18"/>
        <v/>
      </c>
      <c r="AX27" s="99" t="str">
        <f t="shared" si="19"/>
        <v/>
      </c>
      <c r="AY27" s="99" t="str">
        <f t="shared" si="20"/>
        <v/>
      </c>
      <c r="AZ27" s="99" t="str">
        <f t="shared" si="21"/>
        <v/>
      </c>
      <c r="BA27" s="98" t="str">
        <f t="shared" si="22"/>
        <v/>
      </c>
    </row>
    <row r="28" spans="1:53" ht="15" customHeight="1" thickBot="1" x14ac:dyDescent="0.4">
      <c r="A28" s="114"/>
      <c r="B28" s="4"/>
      <c r="C28" s="58"/>
      <c r="D28" s="49"/>
      <c r="E28" s="58"/>
      <c r="F28" s="62"/>
      <c r="G28" s="49"/>
      <c r="H28" s="49"/>
      <c r="I28" s="49"/>
      <c r="J28" s="49"/>
      <c r="K28" s="49"/>
      <c r="L28" s="49"/>
      <c r="M28" s="82"/>
      <c r="N28" s="54"/>
      <c r="O28" s="54"/>
      <c r="P28" s="58"/>
      <c r="Q28" s="7"/>
      <c r="R28" s="103">
        <f t="shared" si="5"/>
        <v>0</v>
      </c>
      <c r="S28" s="88"/>
      <c r="T28" s="155"/>
      <c r="U28" s="155"/>
      <c r="V28" s="9"/>
      <c r="W28" s="27" t="str">
        <f t="shared" si="23"/>
        <v/>
      </c>
      <c r="X28" s="29" t="str">
        <f t="shared" si="35"/>
        <v/>
      </c>
      <c r="Y28" s="29" t="str">
        <f t="shared" si="34"/>
        <v/>
      </c>
      <c r="Z28" s="29" t="str">
        <f t="shared" si="34"/>
        <v/>
      </c>
      <c r="AA28" s="29" t="str">
        <f t="shared" si="34"/>
        <v/>
      </c>
      <c r="AB28" s="29" t="str">
        <f t="shared" si="34"/>
        <v/>
      </c>
      <c r="AC28" s="29" t="str">
        <f t="shared" si="34"/>
        <v/>
      </c>
      <c r="AD28" s="29" t="str">
        <f t="shared" si="34"/>
        <v/>
      </c>
      <c r="AE28" s="29" t="str">
        <f t="shared" si="34"/>
        <v/>
      </c>
      <c r="AF28" s="29" t="str">
        <f t="shared" si="34"/>
        <v/>
      </c>
      <c r="AG28" s="29" t="str">
        <f t="shared" si="34"/>
        <v/>
      </c>
      <c r="AH28" s="29" t="str">
        <f t="shared" si="34"/>
        <v/>
      </c>
      <c r="AI28" s="29" t="str">
        <f t="shared" si="34"/>
        <v/>
      </c>
      <c r="AJ28" s="30" t="str">
        <f t="shared" si="8"/>
        <v/>
      </c>
      <c r="AL28" s="36">
        <f t="shared" si="2"/>
        <v>0</v>
      </c>
      <c r="AM28" s="36">
        <f t="shared" si="3"/>
        <v>0</v>
      </c>
      <c r="AN28" s="99" t="str">
        <f t="shared" si="9"/>
        <v/>
      </c>
      <c r="AO28" s="99" t="str">
        <f t="shared" si="10"/>
        <v/>
      </c>
      <c r="AP28" s="99" t="str">
        <f t="shared" si="11"/>
        <v/>
      </c>
      <c r="AQ28" s="99" t="str">
        <f t="shared" si="12"/>
        <v/>
      </c>
      <c r="AR28" s="99" t="str">
        <f t="shared" si="13"/>
        <v/>
      </c>
      <c r="AS28" s="99" t="str">
        <f t="shared" si="14"/>
        <v/>
      </c>
      <c r="AT28" s="99" t="str">
        <f t="shared" si="15"/>
        <v/>
      </c>
      <c r="AU28" s="99" t="str">
        <f t="shared" si="16"/>
        <v/>
      </c>
      <c r="AV28" s="99" t="str">
        <f t="shared" si="17"/>
        <v/>
      </c>
      <c r="AW28" s="99" t="str">
        <f t="shared" si="18"/>
        <v/>
      </c>
      <c r="AX28" s="99" t="str">
        <f t="shared" si="19"/>
        <v/>
      </c>
      <c r="AY28" s="99" t="str">
        <f t="shared" si="20"/>
        <v/>
      </c>
      <c r="AZ28" s="99" t="str">
        <f t="shared" si="21"/>
        <v/>
      </c>
      <c r="BA28" s="98" t="str">
        <f t="shared" si="22"/>
        <v/>
      </c>
    </row>
    <row r="29" spans="1:53" ht="14.5" x14ac:dyDescent="0.35">
      <c r="A29" s="112">
        <v>5</v>
      </c>
      <c r="B29" s="5"/>
      <c r="C29" s="50"/>
      <c r="D29" s="60"/>
      <c r="E29" s="69"/>
      <c r="F29" s="61"/>
      <c r="G29" s="48"/>
      <c r="H29" s="48"/>
      <c r="I29" s="48"/>
      <c r="J29" s="48"/>
      <c r="K29" s="48"/>
      <c r="L29" s="48"/>
      <c r="M29" s="81"/>
      <c r="N29" s="53"/>
      <c r="O29" s="53"/>
      <c r="P29" s="50"/>
      <c r="Q29" s="6"/>
      <c r="R29" s="70">
        <f t="shared" si="5"/>
        <v>0</v>
      </c>
      <c r="S29" s="87"/>
      <c r="T29" s="153"/>
      <c r="U29" s="153"/>
      <c r="V29" s="9"/>
      <c r="W29" s="27" t="str">
        <f t="shared" si="23"/>
        <v/>
      </c>
      <c r="X29" s="29" t="str">
        <f t="shared" si="35"/>
        <v/>
      </c>
      <c r="Y29" s="29" t="str">
        <f t="shared" ref="Y29:AI38" si="36">IF(AND(Y$3&lt;&gt;"",$W29&lt;&gt;""),ROUND(2*($R29*(COUNT($X$3:$AI$3)+1)-$W29)*Y$3,0)/2,"")</f>
        <v/>
      </c>
      <c r="Z29" s="29" t="str">
        <f t="shared" si="36"/>
        <v/>
      </c>
      <c r="AA29" s="29" t="str">
        <f t="shared" si="36"/>
        <v/>
      </c>
      <c r="AB29" s="29" t="str">
        <f t="shared" si="36"/>
        <v/>
      </c>
      <c r="AC29" s="29" t="str">
        <f t="shared" si="36"/>
        <v/>
      </c>
      <c r="AD29" s="29" t="str">
        <f t="shared" si="36"/>
        <v/>
      </c>
      <c r="AE29" s="29" t="str">
        <f t="shared" si="36"/>
        <v/>
      </c>
      <c r="AF29" s="29" t="str">
        <f t="shared" si="36"/>
        <v/>
      </c>
      <c r="AG29" s="29" t="str">
        <f t="shared" si="36"/>
        <v/>
      </c>
      <c r="AH29" s="29" t="str">
        <f t="shared" si="36"/>
        <v/>
      </c>
      <c r="AI29" s="29" t="str">
        <f t="shared" si="36"/>
        <v/>
      </c>
      <c r="AJ29" s="30" t="str">
        <f t="shared" si="8"/>
        <v/>
      </c>
      <c r="AL29" s="36">
        <f t="shared" si="2"/>
        <v>0</v>
      </c>
      <c r="AM29" s="36">
        <f t="shared" si="3"/>
        <v>0</v>
      </c>
      <c r="AN29" s="99" t="str">
        <f t="shared" si="9"/>
        <v/>
      </c>
      <c r="AO29" s="99" t="str">
        <f t="shared" si="10"/>
        <v/>
      </c>
      <c r="AP29" s="99" t="str">
        <f t="shared" si="11"/>
        <v/>
      </c>
      <c r="AQ29" s="99" t="str">
        <f t="shared" si="12"/>
        <v/>
      </c>
      <c r="AR29" s="99" t="str">
        <f t="shared" si="13"/>
        <v/>
      </c>
      <c r="AS29" s="99" t="str">
        <f t="shared" si="14"/>
        <v/>
      </c>
      <c r="AT29" s="99" t="str">
        <f t="shared" si="15"/>
        <v/>
      </c>
      <c r="AU29" s="99" t="str">
        <f t="shared" si="16"/>
        <v/>
      </c>
      <c r="AV29" s="99" t="str">
        <f t="shared" si="17"/>
        <v/>
      </c>
      <c r="AW29" s="99" t="str">
        <f t="shared" si="18"/>
        <v/>
      </c>
      <c r="AX29" s="99" t="str">
        <f t="shared" si="19"/>
        <v/>
      </c>
      <c r="AY29" s="99" t="str">
        <f t="shared" si="20"/>
        <v/>
      </c>
      <c r="AZ29" s="99" t="str">
        <f t="shared" si="21"/>
        <v/>
      </c>
      <c r="BA29" s="98" t="str">
        <f t="shared" si="22"/>
        <v/>
      </c>
    </row>
    <row r="30" spans="1:53" ht="15" customHeight="1" x14ac:dyDescent="0.35">
      <c r="A30" s="113"/>
      <c r="B30" s="3"/>
      <c r="C30" s="50"/>
      <c r="D30" s="48"/>
      <c r="E30" s="50"/>
      <c r="F30" s="61"/>
      <c r="G30" s="48"/>
      <c r="H30" s="48"/>
      <c r="I30" s="48"/>
      <c r="J30" s="48"/>
      <c r="K30" s="48"/>
      <c r="L30" s="48"/>
      <c r="M30" s="81"/>
      <c r="N30" s="53"/>
      <c r="O30" s="53"/>
      <c r="P30" s="50"/>
      <c r="Q30" s="6"/>
      <c r="R30" s="70">
        <f t="shared" si="5"/>
        <v>0</v>
      </c>
      <c r="S30" s="87"/>
      <c r="T30" s="154"/>
      <c r="U30" s="154"/>
      <c r="V30" s="9"/>
      <c r="W30" s="27" t="str">
        <f t="shared" si="23"/>
        <v/>
      </c>
      <c r="X30" s="29" t="str">
        <f t="shared" si="35"/>
        <v/>
      </c>
      <c r="Y30" s="29" t="str">
        <f t="shared" si="36"/>
        <v/>
      </c>
      <c r="Z30" s="29" t="str">
        <f t="shared" si="36"/>
        <v/>
      </c>
      <c r="AA30" s="29" t="str">
        <f t="shared" si="36"/>
        <v/>
      </c>
      <c r="AB30" s="29" t="str">
        <f t="shared" si="36"/>
        <v/>
      </c>
      <c r="AC30" s="29" t="str">
        <f t="shared" si="36"/>
        <v/>
      </c>
      <c r="AD30" s="29" t="str">
        <f t="shared" si="36"/>
        <v/>
      </c>
      <c r="AE30" s="29" t="str">
        <f t="shared" si="36"/>
        <v/>
      </c>
      <c r="AF30" s="29" t="str">
        <f t="shared" si="36"/>
        <v/>
      </c>
      <c r="AG30" s="29" t="str">
        <f t="shared" si="36"/>
        <v/>
      </c>
      <c r="AH30" s="29" t="str">
        <f t="shared" si="36"/>
        <v/>
      </c>
      <c r="AI30" s="29" t="str">
        <f t="shared" si="36"/>
        <v/>
      </c>
      <c r="AJ30" s="30" t="str">
        <f t="shared" si="8"/>
        <v/>
      </c>
      <c r="AL30" s="36">
        <f t="shared" si="2"/>
        <v>0</v>
      </c>
      <c r="AM30" s="36">
        <f t="shared" si="3"/>
        <v>0</v>
      </c>
      <c r="AN30" s="99" t="str">
        <f t="shared" si="9"/>
        <v/>
      </c>
      <c r="AO30" s="99" t="str">
        <f t="shared" si="10"/>
        <v/>
      </c>
      <c r="AP30" s="99" t="str">
        <f t="shared" si="11"/>
        <v/>
      </c>
      <c r="AQ30" s="99" t="str">
        <f t="shared" si="12"/>
        <v/>
      </c>
      <c r="AR30" s="99" t="str">
        <f t="shared" si="13"/>
        <v/>
      </c>
      <c r="AS30" s="99" t="str">
        <f t="shared" si="14"/>
        <v/>
      </c>
      <c r="AT30" s="99" t="str">
        <f t="shared" si="15"/>
        <v/>
      </c>
      <c r="AU30" s="99" t="str">
        <f t="shared" si="16"/>
        <v/>
      </c>
      <c r="AV30" s="99" t="str">
        <f t="shared" si="17"/>
        <v/>
      </c>
      <c r="AW30" s="99" t="str">
        <f t="shared" si="18"/>
        <v/>
      </c>
      <c r="AX30" s="99" t="str">
        <f t="shared" si="19"/>
        <v/>
      </c>
      <c r="AY30" s="99" t="str">
        <f t="shared" si="20"/>
        <v/>
      </c>
      <c r="AZ30" s="99" t="str">
        <f t="shared" si="21"/>
        <v/>
      </c>
      <c r="BA30" s="98" t="str">
        <f t="shared" si="22"/>
        <v/>
      </c>
    </row>
    <row r="31" spans="1:53" ht="15" customHeight="1" x14ac:dyDescent="0.35">
      <c r="A31" s="113"/>
      <c r="B31" s="3"/>
      <c r="C31" s="50"/>
      <c r="D31" s="48"/>
      <c r="E31" s="50"/>
      <c r="F31" s="61"/>
      <c r="G31" s="48"/>
      <c r="H31" s="48"/>
      <c r="I31" s="48"/>
      <c r="J31" s="48"/>
      <c r="K31" s="48"/>
      <c r="L31" s="48"/>
      <c r="M31" s="81"/>
      <c r="N31" s="53"/>
      <c r="O31" s="53"/>
      <c r="P31" s="50"/>
      <c r="Q31" s="6"/>
      <c r="R31" s="70">
        <f t="shared" si="5"/>
        <v>0</v>
      </c>
      <c r="S31" s="87"/>
      <c r="T31" s="154"/>
      <c r="U31" s="154"/>
      <c r="V31" s="9"/>
      <c r="W31" s="27" t="str">
        <f t="shared" si="23"/>
        <v/>
      </c>
      <c r="X31" s="29" t="str">
        <f t="shared" si="35"/>
        <v/>
      </c>
      <c r="Y31" s="29" t="str">
        <f t="shared" si="36"/>
        <v/>
      </c>
      <c r="Z31" s="29" t="str">
        <f t="shared" si="36"/>
        <v/>
      </c>
      <c r="AA31" s="29" t="str">
        <f t="shared" si="36"/>
        <v/>
      </c>
      <c r="AB31" s="29" t="str">
        <f t="shared" si="36"/>
        <v/>
      </c>
      <c r="AC31" s="29" t="str">
        <f t="shared" si="36"/>
        <v/>
      </c>
      <c r="AD31" s="29" t="str">
        <f t="shared" si="36"/>
        <v/>
      </c>
      <c r="AE31" s="29" t="str">
        <f t="shared" si="36"/>
        <v/>
      </c>
      <c r="AF31" s="29" t="str">
        <f t="shared" si="36"/>
        <v/>
      </c>
      <c r="AG31" s="29" t="str">
        <f t="shared" si="36"/>
        <v/>
      </c>
      <c r="AH31" s="29" t="str">
        <f t="shared" si="36"/>
        <v/>
      </c>
      <c r="AI31" s="29" t="str">
        <f t="shared" si="36"/>
        <v/>
      </c>
      <c r="AJ31" s="30" t="str">
        <f t="shared" si="8"/>
        <v/>
      </c>
      <c r="AL31" s="36">
        <f t="shared" si="2"/>
        <v>0</v>
      </c>
      <c r="AM31" s="36">
        <f t="shared" si="3"/>
        <v>0</v>
      </c>
      <c r="AN31" s="99" t="str">
        <f t="shared" si="9"/>
        <v/>
      </c>
      <c r="AO31" s="99" t="str">
        <f t="shared" si="10"/>
        <v/>
      </c>
      <c r="AP31" s="99" t="str">
        <f t="shared" si="11"/>
        <v/>
      </c>
      <c r="AQ31" s="99" t="str">
        <f t="shared" si="12"/>
        <v/>
      </c>
      <c r="AR31" s="99" t="str">
        <f t="shared" si="13"/>
        <v/>
      </c>
      <c r="AS31" s="99" t="str">
        <f t="shared" si="14"/>
        <v/>
      </c>
      <c r="AT31" s="99" t="str">
        <f t="shared" si="15"/>
        <v/>
      </c>
      <c r="AU31" s="99" t="str">
        <f t="shared" si="16"/>
        <v/>
      </c>
      <c r="AV31" s="99" t="str">
        <f t="shared" si="17"/>
        <v/>
      </c>
      <c r="AW31" s="99" t="str">
        <f t="shared" si="18"/>
        <v/>
      </c>
      <c r="AX31" s="99" t="str">
        <f t="shared" si="19"/>
        <v/>
      </c>
      <c r="AY31" s="99" t="str">
        <f t="shared" si="20"/>
        <v/>
      </c>
      <c r="AZ31" s="99" t="str">
        <f t="shared" si="21"/>
        <v/>
      </c>
      <c r="BA31" s="98" t="str">
        <f t="shared" si="22"/>
        <v/>
      </c>
    </row>
    <row r="32" spans="1:53" ht="15" customHeight="1" x14ac:dyDescent="0.35">
      <c r="A32" s="113"/>
      <c r="B32" s="3"/>
      <c r="C32" s="50"/>
      <c r="D32" s="48"/>
      <c r="E32" s="50"/>
      <c r="F32" s="61"/>
      <c r="G32" s="48"/>
      <c r="H32" s="48"/>
      <c r="I32" s="48"/>
      <c r="J32" s="48"/>
      <c r="K32" s="48"/>
      <c r="L32" s="48"/>
      <c r="M32" s="81"/>
      <c r="N32" s="53"/>
      <c r="O32" s="53"/>
      <c r="P32" s="50"/>
      <c r="Q32" s="6"/>
      <c r="R32" s="70">
        <f t="shared" si="5"/>
        <v>0</v>
      </c>
      <c r="S32" s="87"/>
      <c r="T32" s="154"/>
      <c r="U32" s="154"/>
      <c r="V32" s="9"/>
      <c r="W32" s="27" t="str">
        <f t="shared" si="23"/>
        <v/>
      </c>
      <c r="X32" s="29" t="str">
        <f t="shared" si="35"/>
        <v/>
      </c>
      <c r="Y32" s="29" t="str">
        <f t="shared" si="36"/>
        <v/>
      </c>
      <c r="Z32" s="29" t="str">
        <f t="shared" si="36"/>
        <v/>
      </c>
      <c r="AA32" s="29" t="str">
        <f t="shared" si="36"/>
        <v/>
      </c>
      <c r="AB32" s="29" t="str">
        <f t="shared" si="36"/>
        <v/>
      </c>
      <c r="AC32" s="29" t="str">
        <f t="shared" si="36"/>
        <v/>
      </c>
      <c r="AD32" s="29" t="str">
        <f t="shared" si="36"/>
        <v/>
      </c>
      <c r="AE32" s="29" t="str">
        <f t="shared" si="36"/>
        <v/>
      </c>
      <c r="AF32" s="29" t="str">
        <f t="shared" si="36"/>
        <v/>
      </c>
      <c r="AG32" s="29" t="str">
        <f t="shared" si="36"/>
        <v/>
      </c>
      <c r="AH32" s="29" t="str">
        <f t="shared" si="36"/>
        <v/>
      </c>
      <c r="AI32" s="29" t="str">
        <f t="shared" si="36"/>
        <v/>
      </c>
      <c r="AJ32" s="30" t="str">
        <f t="shared" si="8"/>
        <v/>
      </c>
      <c r="AL32" s="36">
        <f t="shared" si="2"/>
        <v>0</v>
      </c>
      <c r="AM32" s="36">
        <f t="shared" si="3"/>
        <v>0</v>
      </c>
      <c r="AN32" s="99" t="str">
        <f t="shared" si="9"/>
        <v/>
      </c>
      <c r="AO32" s="99" t="str">
        <f t="shared" si="10"/>
        <v/>
      </c>
      <c r="AP32" s="99" t="str">
        <f t="shared" si="11"/>
        <v/>
      </c>
      <c r="AQ32" s="99" t="str">
        <f t="shared" si="12"/>
        <v/>
      </c>
      <c r="AR32" s="99" t="str">
        <f t="shared" si="13"/>
        <v/>
      </c>
      <c r="AS32" s="99" t="str">
        <f t="shared" si="14"/>
        <v/>
      </c>
      <c r="AT32" s="99" t="str">
        <f t="shared" si="15"/>
        <v/>
      </c>
      <c r="AU32" s="99" t="str">
        <f t="shared" si="16"/>
        <v/>
      </c>
      <c r="AV32" s="99" t="str">
        <f t="shared" si="17"/>
        <v/>
      </c>
      <c r="AW32" s="99" t="str">
        <f t="shared" si="18"/>
        <v/>
      </c>
      <c r="AX32" s="99" t="str">
        <f t="shared" si="19"/>
        <v/>
      </c>
      <c r="AY32" s="99" t="str">
        <f t="shared" si="20"/>
        <v/>
      </c>
      <c r="AZ32" s="99" t="str">
        <f t="shared" si="21"/>
        <v/>
      </c>
      <c r="BA32" s="98" t="str">
        <f t="shared" si="22"/>
        <v/>
      </c>
    </row>
    <row r="33" spans="1:53" ht="15" customHeight="1" x14ac:dyDescent="0.35">
      <c r="A33" s="113"/>
      <c r="B33" s="3"/>
      <c r="C33" s="50"/>
      <c r="D33" s="48"/>
      <c r="E33" s="50"/>
      <c r="F33" s="61"/>
      <c r="G33" s="48"/>
      <c r="H33" s="48"/>
      <c r="I33" s="48"/>
      <c r="J33" s="48"/>
      <c r="K33" s="48"/>
      <c r="L33" s="48"/>
      <c r="M33" s="81"/>
      <c r="N33" s="53"/>
      <c r="O33" s="53"/>
      <c r="P33" s="50"/>
      <c r="Q33" s="6"/>
      <c r="R33" s="70">
        <f t="shared" si="5"/>
        <v>0</v>
      </c>
      <c r="S33" s="87"/>
      <c r="T33" s="154"/>
      <c r="U33" s="154"/>
      <c r="V33" s="9"/>
      <c r="W33" s="27" t="str">
        <f t="shared" si="23"/>
        <v/>
      </c>
      <c r="X33" s="29" t="str">
        <f t="shared" si="35"/>
        <v/>
      </c>
      <c r="Y33" s="29" t="str">
        <f t="shared" si="36"/>
        <v/>
      </c>
      <c r="Z33" s="29" t="str">
        <f t="shared" si="36"/>
        <v/>
      </c>
      <c r="AA33" s="29" t="str">
        <f t="shared" si="36"/>
        <v/>
      </c>
      <c r="AB33" s="29" t="str">
        <f t="shared" si="36"/>
        <v/>
      </c>
      <c r="AC33" s="29" t="str">
        <f t="shared" si="36"/>
        <v/>
      </c>
      <c r="AD33" s="29" t="str">
        <f t="shared" si="36"/>
        <v/>
      </c>
      <c r="AE33" s="29" t="str">
        <f t="shared" si="36"/>
        <v/>
      </c>
      <c r="AF33" s="29" t="str">
        <f t="shared" si="36"/>
        <v/>
      </c>
      <c r="AG33" s="29" t="str">
        <f t="shared" si="36"/>
        <v/>
      </c>
      <c r="AH33" s="29" t="str">
        <f t="shared" si="36"/>
        <v/>
      </c>
      <c r="AI33" s="29" t="str">
        <f t="shared" si="36"/>
        <v/>
      </c>
      <c r="AJ33" s="30" t="str">
        <f t="shared" si="8"/>
        <v/>
      </c>
      <c r="AL33" s="36">
        <f t="shared" si="2"/>
        <v>0</v>
      </c>
      <c r="AM33" s="36">
        <f t="shared" si="3"/>
        <v>0</v>
      </c>
      <c r="AN33" s="99" t="str">
        <f t="shared" si="9"/>
        <v/>
      </c>
      <c r="AO33" s="99" t="str">
        <f t="shared" si="10"/>
        <v/>
      </c>
      <c r="AP33" s="99" t="str">
        <f t="shared" si="11"/>
        <v/>
      </c>
      <c r="AQ33" s="99" t="str">
        <f t="shared" si="12"/>
        <v/>
      </c>
      <c r="AR33" s="99" t="str">
        <f t="shared" si="13"/>
        <v/>
      </c>
      <c r="AS33" s="99" t="str">
        <f t="shared" si="14"/>
        <v/>
      </c>
      <c r="AT33" s="99" t="str">
        <f t="shared" si="15"/>
        <v/>
      </c>
      <c r="AU33" s="99" t="str">
        <f t="shared" si="16"/>
        <v/>
      </c>
      <c r="AV33" s="99" t="str">
        <f t="shared" si="17"/>
        <v/>
      </c>
      <c r="AW33" s="99" t="str">
        <f t="shared" si="18"/>
        <v/>
      </c>
      <c r="AX33" s="99" t="str">
        <f t="shared" si="19"/>
        <v/>
      </c>
      <c r="AY33" s="99" t="str">
        <f t="shared" si="20"/>
        <v/>
      </c>
      <c r="AZ33" s="99" t="str">
        <f t="shared" si="21"/>
        <v/>
      </c>
      <c r="BA33" s="98" t="str">
        <f t="shared" si="22"/>
        <v/>
      </c>
    </row>
    <row r="34" spans="1:53" ht="15" customHeight="1" thickBot="1" x14ac:dyDescent="0.4">
      <c r="A34" s="114"/>
      <c r="B34" s="4"/>
      <c r="C34" s="58"/>
      <c r="D34" s="49"/>
      <c r="E34" s="58"/>
      <c r="F34" s="62"/>
      <c r="G34" s="49"/>
      <c r="H34" s="49"/>
      <c r="I34" s="49"/>
      <c r="J34" s="49"/>
      <c r="K34" s="49"/>
      <c r="L34" s="49"/>
      <c r="M34" s="82"/>
      <c r="N34" s="54"/>
      <c r="O34" s="54"/>
      <c r="P34" s="58"/>
      <c r="Q34" s="7"/>
      <c r="R34" s="101">
        <f t="shared" si="5"/>
        <v>0</v>
      </c>
      <c r="S34" s="88"/>
      <c r="T34" s="155"/>
      <c r="U34" s="155"/>
      <c r="V34" s="9"/>
      <c r="W34" s="27" t="str">
        <f t="shared" si="23"/>
        <v/>
      </c>
      <c r="X34" s="29" t="str">
        <f t="shared" si="35"/>
        <v/>
      </c>
      <c r="Y34" s="29" t="str">
        <f t="shared" si="36"/>
        <v/>
      </c>
      <c r="Z34" s="29" t="str">
        <f t="shared" si="36"/>
        <v/>
      </c>
      <c r="AA34" s="29" t="str">
        <f t="shared" si="36"/>
        <v/>
      </c>
      <c r="AB34" s="29" t="str">
        <f t="shared" si="36"/>
        <v/>
      </c>
      <c r="AC34" s="29" t="str">
        <f t="shared" si="36"/>
        <v/>
      </c>
      <c r="AD34" s="29" t="str">
        <f t="shared" si="36"/>
        <v/>
      </c>
      <c r="AE34" s="29" t="str">
        <f t="shared" si="36"/>
        <v/>
      </c>
      <c r="AF34" s="29" t="str">
        <f t="shared" si="36"/>
        <v/>
      </c>
      <c r="AG34" s="29" t="str">
        <f t="shared" si="36"/>
        <v/>
      </c>
      <c r="AH34" s="29" t="str">
        <f t="shared" si="36"/>
        <v/>
      </c>
      <c r="AI34" s="29" t="str">
        <f t="shared" si="36"/>
        <v/>
      </c>
      <c r="AJ34" s="30" t="str">
        <f t="shared" si="8"/>
        <v/>
      </c>
      <c r="AL34" s="36">
        <f t="shared" si="2"/>
        <v>0</v>
      </c>
      <c r="AM34" s="36">
        <f t="shared" si="3"/>
        <v>0</v>
      </c>
      <c r="AN34" s="99" t="str">
        <f t="shared" si="9"/>
        <v/>
      </c>
      <c r="AO34" s="99" t="str">
        <f t="shared" si="10"/>
        <v/>
      </c>
      <c r="AP34" s="99" t="str">
        <f t="shared" si="11"/>
        <v/>
      </c>
      <c r="AQ34" s="99" t="str">
        <f t="shared" si="12"/>
        <v/>
      </c>
      <c r="AR34" s="99" t="str">
        <f t="shared" si="13"/>
        <v/>
      </c>
      <c r="AS34" s="99" t="str">
        <f t="shared" si="14"/>
        <v/>
      </c>
      <c r="AT34" s="99" t="str">
        <f t="shared" si="15"/>
        <v/>
      </c>
      <c r="AU34" s="99" t="str">
        <f t="shared" si="16"/>
        <v/>
      </c>
      <c r="AV34" s="99" t="str">
        <f t="shared" si="17"/>
        <v/>
      </c>
      <c r="AW34" s="99" t="str">
        <f t="shared" si="18"/>
        <v/>
      </c>
      <c r="AX34" s="99" t="str">
        <f t="shared" si="19"/>
        <v/>
      </c>
      <c r="AY34" s="99" t="str">
        <f t="shared" si="20"/>
        <v/>
      </c>
      <c r="AZ34" s="99" t="str">
        <f t="shared" si="21"/>
        <v/>
      </c>
      <c r="BA34" s="98" t="str">
        <f t="shared" si="22"/>
        <v/>
      </c>
    </row>
    <row r="35" spans="1:53" ht="14.5" x14ac:dyDescent="0.35">
      <c r="A35" s="112">
        <v>6</v>
      </c>
      <c r="B35" s="5"/>
      <c r="C35" s="69"/>
      <c r="D35" s="60"/>
      <c r="E35" s="69"/>
      <c r="F35" s="59"/>
      <c r="G35" s="60"/>
      <c r="H35" s="60"/>
      <c r="I35" s="60"/>
      <c r="J35" s="60"/>
      <c r="K35" s="60"/>
      <c r="L35" s="60"/>
      <c r="M35" s="80"/>
      <c r="N35" s="79"/>
      <c r="O35" s="79"/>
      <c r="P35" s="69"/>
      <c r="Q35" s="8"/>
      <c r="R35" s="102">
        <f t="shared" si="5"/>
        <v>0</v>
      </c>
      <c r="S35" s="87"/>
      <c r="T35" s="153"/>
      <c r="U35" s="153"/>
      <c r="V35" s="9"/>
      <c r="W35" s="27" t="str">
        <f t="shared" si="23"/>
        <v/>
      </c>
      <c r="X35" s="29" t="str">
        <f t="shared" si="35"/>
        <v/>
      </c>
      <c r="Y35" s="29" t="str">
        <f t="shared" si="36"/>
        <v/>
      </c>
      <c r="Z35" s="29" t="str">
        <f t="shared" si="36"/>
        <v/>
      </c>
      <c r="AA35" s="29" t="str">
        <f t="shared" si="36"/>
        <v/>
      </c>
      <c r="AB35" s="29" t="str">
        <f t="shared" si="36"/>
        <v/>
      </c>
      <c r="AC35" s="29" t="str">
        <f t="shared" si="36"/>
        <v/>
      </c>
      <c r="AD35" s="29" t="str">
        <f t="shared" si="36"/>
        <v/>
      </c>
      <c r="AE35" s="29" t="str">
        <f t="shared" si="36"/>
        <v/>
      </c>
      <c r="AF35" s="29" t="str">
        <f t="shared" si="36"/>
        <v/>
      </c>
      <c r="AG35" s="29" t="str">
        <f t="shared" si="36"/>
        <v/>
      </c>
      <c r="AH35" s="29" t="str">
        <f t="shared" si="36"/>
        <v/>
      </c>
      <c r="AI35" s="29" t="str">
        <f t="shared" si="36"/>
        <v/>
      </c>
      <c r="AJ35" s="30" t="str">
        <f t="shared" si="8"/>
        <v/>
      </c>
      <c r="AL35" s="36">
        <f t="shared" si="2"/>
        <v>0</v>
      </c>
      <c r="AM35" s="36">
        <f t="shared" si="3"/>
        <v>0</v>
      </c>
      <c r="AN35" s="99" t="str">
        <f t="shared" si="9"/>
        <v/>
      </c>
      <c r="AO35" s="99" t="str">
        <f t="shared" si="10"/>
        <v/>
      </c>
      <c r="AP35" s="99" t="str">
        <f t="shared" si="11"/>
        <v/>
      </c>
      <c r="AQ35" s="99" t="str">
        <f t="shared" si="12"/>
        <v/>
      </c>
      <c r="AR35" s="99" t="str">
        <f t="shared" si="13"/>
        <v/>
      </c>
      <c r="AS35" s="99" t="str">
        <f t="shared" si="14"/>
        <v/>
      </c>
      <c r="AT35" s="99" t="str">
        <f t="shared" si="15"/>
        <v/>
      </c>
      <c r="AU35" s="99" t="str">
        <f t="shared" si="16"/>
        <v/>
      </c>
      <c r="AV35" s="99" t="str">
        <f t="shared" si="17"/>
        <v/>
      </c>
      <c r="AW35" s="99" t="str">
        <f t="shared" si="18"/>
        <v/>
      </c>
      <c r="AX35" s="99" t="str">
        <f t="shared" si="19"/>
        <v/>
      </c>
      <c r="AY35" s="99" t="str">
        <f t="shared" si="20"/>
        <v/>
      </c>
      <c r="AZ35" s="99" t="str">
        <f t="shared" si="21"/>
        <v/>
      </c>
      <c r="BA35" s="98" t="str">
        <f t="shared" si="22"/>
        <v/>
      </c>
    </row>
    <row r="36" spans="1:53" ht="15" customHeight="1" x14ac:dyDescent="0.35">
      <c r="A36" s="113"/>
      <c r="B36" s="3"/>
      <c r="C36" s="50"/>
      <c r="D36" s="48"/>
      <c r="E36" s="50"/>
      <c r="F36" s="61"/>
      <c r="G36" s="48"/>
      <c r="H36" s="48"/>
      <c r="I36" s="48"/>
      <c r="J36" s="48"/>
      <c r="K36" s="48"/>
      <c r="L36" s="48"/>
      <c r="M36" s="81"/>
      <c r="N36" s="53"/>
      <c r="O36" s="53"/>
      <c r="P36" s="50"/>
      <c r="Q36" s="6"/>
      <c r="R36" s="70">
        <f t="shared" si="5"/>
        <v>0</v>
      </c>
      <c r="S36" s="87"/>
      <c r="T36" s="154"/>
      <c r="U36" s="154"/>
      <c r="V36" s="9"/>
      <c r="W36" s="27" t="str">
        <f t="shared" si="23"/>
        <v/>
      </c>
      <c r="X36" s="29" t="str">
        <f t="shared" si="35"/>
        <v/>
      </c>
      <c r="Y36" s="29" t="str">
        <f t="shared" si="36"/>
        <v/>
      </c>
      <c r="Z36" s="29" t="str">
        <f t="shared" si="36"/>
        <v/>
      </c>
      <c r="AA36" s="29" t="str">
        <f t="shared" si="36"/>
        <v/>
      </c>
      <c r="AB36" s="29" t="str">
        <f t="shared" si="36"/>
        <v/>
      </c>
      <c r="AC36" s="29" t="str">
        <f t="shared" si="36"/>
        <v/>
      </c>
      <c r="AD36" s="29" t="str">
        <f t="shared" si="36"/>
        <v/>
      </c>
      <c r="AE36" s="29" t="str">
        <f t="shared" si="36"/>
        <v/>
      </c>
      <c r="AF36" s="29" t="str">
        <f t="shared" si="36"/>
        <v/>
      </c>
      <c r="AG36" s="29" t="str">
        <f t="shared" si="36"/>
        <v/>
      </c>
      <c r="AH36" s="29" t="str">
        <f t="shared" si="36"/>
        <v/>
      </c>
      <c r="AI36" s="29" t="str">
        <f t="shared" si="36"/>
        <v/>
      </c>
      <c r="AJ36" s="30" t="str">
        <f t="shared" si="8"/>
        <v/>
      </c>
      <c r="AL36" s="36">
        <f t="shared" si="2"/>
        <v>0</v>
      </c>
      <c r="AM36" s="36">
        <f t="shared" si="3"/>
        <v>0</v>
      </c>
      <c r="AN36" s="99" t="str">
        <f t="shared" si="9"/>
        <v/>
      </c>
      <c r="AO36" s="99" t="str">
        <f t="shared" si="10"/>
        <v/>
      </c>
      <c r="AP36" s="99" t="str">
        <f t="shared" si="11"/>
        <v/>
      </c>
      <c r="AQ36" s="99" t="str">
        <f t="shared" si="12"/>
        <v/>
      </c>
      <c r="AR36" s="99" t="str">
        <f t="shared" si="13"/>
        <v/>
      </c>
      <c r="AS36" s="99" t="str">
        <f t="shared" si="14"/>
        <v/>
      </c>
      <c r="AT36" s="99" t="str">
        <f t="shared" si="15"/>
        <v/>
      </c>
      <c r="AU36" s="99" t="str">
        <f t="shared" si="16"/>
        <v/>
      </c>
      <c r="AV36" s="99" t="str">
        <f t="shared" si="17"/>
        <v/>
      </c>
      <c r="AW36" s="99" t="str">
        <f t="shared" si="18"/>
        <v/>
      </c>
      <c r="AX36" s="99" t="str">
        <f t="shared" si="19"/>
        <v/>
      </c>
      <c r="AY36" s="99" t="str">
        <f t="shared" si="20"/>
        <v/>
      </c>
      <c r="AZ36" s="99" t="str">
        <f t="shared" si="21"/>
        <v/>
      </c>
      <c r="BA36" s="98" t="str">
        <f t="shared" si="22"/>
        <v/>
      </c>
    </row>
    <row r="37" spans="1:53" ht="15" customHeight="1" x14ac:dyDescent="0.35">
      <c r="A37" s="113"/>
      <c r="B37" s="3"/>
      <c r="C37" s="50"/>
      <c r="D37" s="48"/>
      <c r="E37" s="50"/>
      <c r="F37" s="61"/>
      <c r="G37" s="48"/>
      <c r="H37" s="48"/>
      <c r="I37" s="48"/>
      <c r="J37" s="48"/>
      <c r="K37" s="48"/>
      <c r="L37" s="48"/>
      <c r="M37" s="81"/>
      <c r="N37" s="53"/>
      <c r="O37" s="53"/>
      <c r="P37" s="50"/>
      <c r="Q37" s="6"/>
      <c r="R37" s="70">
        <f t="shared" si="5"/>
        <v>0</v>
      </c>
      <c r="S37" s="87"/>
      <c r="T37" s="154"/>
      <c r="U37" s="154"/>
      <c r="V37" s="9"/>
      <c r="W37" s="27" t="str">
        <f t="shared" si="23"/>
        <v/>
      </c>
      <c r="X37" s="29" t="str">
        <f t="shared" si="35"/>
        <v/>
      </c>
      <c r="Y37" s="29" t="str">
        <f t="shared" si="36"/>
        <v/>
      </c>
      <c r="Z37" s="29" t="str">
        <f t="shared" si="36"/>
        <v/>
      </c>
      <c r="AA37" s="29" t="str">
        <f t="shared" si="36"/>
        <v/>
      </c>
      <c r="AB37" s="29" t="str">
        <f t="shared" si="36"/>
        <v/>
      </c>
      <c r="AC37" s="29" t="str">
        <f t="shared" si="36"/>
        <v/>
      </c>
      <c r="AD37" s="29" t="str">
        <f t="shared" si="36"/>
        <v/>
      </c>
      <c r="AE37" s="29" t="str">
        <f t="shared" si="36"/>
        <v/>
      </c>
      <c r="AF37" s="29" t="str">
        <f t="shared" si="36"/>
        <v/>
      </c>
      <c r="AG37" s="29" t="str">
        <f t="shared" si="36"/>
        <v/>
      </c>
      <c r="AH37" s="29" t="str">
        <f t="shared" si="36"/>
        <v/>
      </c>
      <c r="AI37" s="29" t="str">
        <f t="shared" si="36"/>
        <v/>
      </c>
      <c r="AJ37" s="30" t="str">
        <f t="shared" si="8"/>
        <v/>
      </c>
      <c r="AL37" s="36">
        <f t="shared" si="2"/>
        <v>0</v>
      </c>
      <c r="AM37" s="36">
        <f t="shared" si="3"/>
        <v>0</v>
      </c>
      <c r="AN37" s="99" t="str">
        <f t="shared" si="9"/>
        <v/>
      </c>
      <c r="AO37" s="99" t="str">
        <f t="shared" si="10"/>
        <v/>
      </c>
      <c r="AP37" s="99" t="str">
        <f t="shared" si="11"/>
        <v/>
      </c>
      <c r="AQ37" s="99" t="str">
        <f t="shared" si="12"/>
        <v/>
      </c>
      <c r="AR37" s="99" t="str">
        <f t="shared" si="13"/>
        <v/>
      </c>
      <c r="AS37" s="99" t="str">
        <f t="shared" si="14"/>
        <v/>
      </c>
      <c r="AT37" s="99" t="str">
        <f t="shared" si="15"/>
        <v/>
      </c>
      <c r="AU37" s="99" t="str">
        <f t="shared" si="16"/>
        <v/>
      </c>
      <c r="AV37" s="99" t="str">
        <f t="shared" si="17"/>
        <v/>
      </c>
      <c r="AW37" s="99" t="str">
        <f t="shared" si="18"/>
        <v/>
      </c>
      <c r="AX37" s="99" t="str">
        <f t="shared" si="19"/>
        <v/>
      </c>
      <c r="AY37" s="99" t="str">
        <f t="shared" si="20"/>
        <v/>
      </c>
      <c r="AZ37" s="99" t="str">
        <f t="shared" si="21"/>
        <v/>
      </c>
      <c r="BA37" s="98" t="str">
        <f t="shared" si="22"/>
        <v/>
      </c>
    </row>
    <row r="38" spans="1:53" ht="15" customHeight="1" x14ac:dyDescent="0.35">
      <c r="A38" s="113"/>
      <c r="B38" s="3"/>
      <c r="C38" s="50"/>
      <c r="D38" s="48"/>
      <c r="E38" s="50"/>
      <c r="F38" s="61"/>
      <c r="G38" s="48"/>
      <c r="H38" s="48"/>
      <c r="I38" s="48"/>
      <c r="J38" s="48"/>
      <c r="K38" s="48"/>
      <c r="L38" s="48"/>
      <c r="M38" s="81"/>
      <c r="N38" s="53"/>
      <c r="O38" s="53"/>
      <c r="P38" s="50"/>
      <c r="Q38" s="6"/>
      <c r="R38" s="70">
        <f t="shared" si="5"/>
        <v>0</v>
      </c>
      <c r="S38" s="87"/>
      <c r="T38" s="154"/>
      <c r="U38" s="154"/>
      <c r="V38" s="9"/>
      <c r="W38" s="27" t="str">
        <f t="shared" si="23"/>
        <v/>
      </c>
      <c r="X38" s="29" t="str">
        <f t="shared" si="35"/>
        <v/>
      </c>
      <c r="Y38" s="29" t="str">
        <f t="shared" si="36"/>
        <v/>
      </c>
      <c r="Z38" s="29" t="str">
        <f t="shared" si="36"/>
        <v/>
      </c>
      <c r="AA38" s="29" t="str">
        <f t="shared" si="36"/>
        <v/>
      </c>
      <c r="AB38" s="29" t="str">
        <f t="shared" si="36"/>
        <v/>
      </c>
      <c r="AC38" s="29" t="str">
        <f t="shared" si="36"/>
        <v/>
      </c>
      <c r="AD38" s="29" t="str">
        <f t="shared" si="36"/>
        <v/>
      </c>
      <c r="AE38" s="29" t="str">
        <f t="shared" si="36"/>
        <v/>
      </c>
      <c r="AF38" s="29" t="str">
        <f t="shared" si="36"/>
        <v/>
      </c>
      <c r="AG38" s="29" t="str">
        <f t="shared" si="36"/>
        <v/>
      </c>
      <c r="AH38" s="29" t="str">
        <f t="shared" si="36"/>
        <v/>
      </c>
      <c r="AI38" s="29" t="str">
        <f t="shared" si="36"/>
        <v/>
      </c>
      <c r="AJ38" s="30" t="str">
        <f t="shared" si="8"/>
        <v/>
      </c>
      <c r="AL38" s="36">
        <f t="shared" ref="AL38:AL69" si="37">IF(R38&lt;10,MAX(0,2*R38-10),MAX(10,2*R38-20))</f>
        <v>0</v>
      </c>
      <c r="AM38" s="36">
        <f t="shared" ref="AM38:AM69" si="38">2*R38-AL38</f>
        <v>0</v>
      </c>
      <c r="AN38" s="99" t="str">
        <f t="shared" si="9"/>
        <v/>
      </c>
      <c r="AO38" s="99" t="str">
        <f t="shared" si="10"/>
        <v/>
      </c>
      <c r="AP38" s="99" t="str">
        <f t="shared" si="11"/>
        <v/>
      </c>
      <c r="AQ38" s="99" t="str">
        <f t="shared" si="12"/>
        <v/>
      </c>
      <c r="AR38" s="99" t="str">
        <f t="shared" si="13"/>
        <v/>
      </c>
      <c r="AS38" s="99" t="str">
        <f t="shared" si="14"/>
        <v/>
      </c>
      <c r="AT38" s="99" t="str">
        <f t="shared" si="15"/>
        <v/>
      </c>
      <c r="AU38" s="99" t="str">
        <f t="shared" si="16"/>
        <v/>
      </c>
      <c r="AV38" s="99" t="str">
        <f t="shared" si="17"/>
        <v/>
      </c>
      <c r="AW38" s="99" t="str">
        <f t="shared" si="18"/>
        <v/>
      </c>
      <c r="AX38" s="99" t="str">
        <f t="shared" si="19"/>
        <v/>
      </c>
      <c r="AY38" s="99" t="str">
        <f t="shared" si="20"/>
        <v/>
      </c>
      <c r="AZ38" s="99" t="str">
        <f t="shared" si="21"/>
        <v/>
      </c>
      <c r="BA38" s="98" t="str">
        <f t="shared" si="22"/>
        <v/>
      </c>
    </row>
    <row r="39" spans="1:53" ht="15" customHeight="1" x14ac:dyDescent="0.35">
      <c r="A39" s="113"/>
      <c r="B39" s="3"/>
      <c r="C39" s="50"/>
      <c r="D39" s="48"/>
      <c r="E39" s="50"/>
      <c r="F39" s="61"/>
      <c r="G39" s="48"/>
      <c r="H39" s="48"/>
      <c r="I39" s="48"/>
      <c r="J39" s="48"/>
      <c r="K39" s="48"/>
      <c r="L39" s="48"/>
      <c r="M39" s="81"/>
      <c r="N39" s="53"/>
      <c r="O39" s="53"/>
      <c r="P39" s="50"/>
      <c r="Q39" s="6"/>
      <c r="R39" s="70">
        <f t="shared" si="5"/>
        <v>0</v>
      </c>
      <c r="S39" s="87"/>
      <c r="T39" s="154"/>
      <c r="U39" s="154"/>
      <c r="V39" s="9"/>
      <c r="W39" s="27" t="str">
        <f t="shared" si="23"/>
        <v/>
      </c>
      <c r="X39" s="29" t="str">
        <f t="shared" si="35"/>
        <v/>
      </c>
      <c r="Y39" s="29" t="str">
        <f t="shared" ref="Y39:AI48" si="39">IF(AND(Y$3&lt;&gt;"",$W39&lt;&gt;""),ROUND(2*($R39*(COUNT($X$3:$AI$3)+1)-$W39)*Y$3,0)/2,"")</f>
        <v/>
      </c>
      <c r="Z39" s="29" t="str">
        <f t="shared" si="39"/>
        <v/>
      </c>
      <c r="AA39" s="29" t="str">
        <f t="shared" si="39"/>
        <v/>
      </c>
      <c r="AB39" s="29" t="str">
        <f t="shared" si="39"/>
        <v/>
      </c>
      <c r="AC39" s="29" t="str">
        <f t="shared" si="39"/>
        <v/>
      </c>
      <c r="AD39" s="29" t="str">
        <f t="shared" si="39"/>
        <v/>
      </c>
      <c r="AE39" s="29" t="str">
        <f t="shared" si="39"/>
        <v/>
      </c>
      <c r="AF39" s="29" t="str">
        <f t="shared" si="39"/>
        <v/>
      </c>
      <c r="AG39" s="29" t="str">
        <f t="shared" si="39"/>
        <v/>
      </c>
      <c r="AH39" s="29" t="str">
        <f t="shared" si="39"/>
        <v/>
      </c>
      <c r="AI39" s="29" t="str">
        <f t="shared" si="39"/>
        <v/>
      </c>
      <c r="AJ39" s="30" t="str">
        <f t="shared" si="8"/>
        <v/>
      </c>
      <c r="AL39" s="36">
        <f t="shared" si="37"/>
        <v>0</v>
      </c>
      <c r="AM39" s="36">
        <f t="shared" si="38"/>
        <v>0</v>
      </c>
      <c r="AN39" s="99" t="str">
        <f t="shared" si="9"/>
        <v/>
      </c>
      <c r="AO39" s="99" t="str">
        <f t="shared" si="10"/>
        <v/>
      </c>
      <c r="AP39" s="99" t="str">
        <f t="shared" si="11"/>
        <v/>
      </c>
      <c r="AQ39" s="99" t="str">
        <f t="shared" si="12"/>
        <v/>
      </c>
      <c r="AR39" s="99" t="str">
        <f t="shared" si="13"/>
        <v/>
      </c>
      <c r="AS39" s="99" t="str">
        <f t="shared" si="14"/>
        <v/>
      </c>
      <c r="AT39" s="99" t="str">
        <f t="shared" si="15"/>
        <v/>
      </c>
      <c r="AU39" s="99" t="str">
        <f t="shared" si="16"/>
        <v/>
      </c>
      <c r="AV39" s="99" t="str">
        <f t="shared" si="17"/>
        <v/>
      </c>
      <c r="AW39" s="99" t="str">
        <f t="shared" si="18"/>
        <v/>
      </c>
      <c r="AX39" s="99" t="str">
        <f t="shared" si="19"/>
        <v/>
      </c>
      <c r="AY39" s="99" t="str">
        <f t="shared" si="20"/>
        <v/>
      </c>
      <c r="AZ39" s="99" t="str">
        <f t="shared" si="21"/>
        <v/>
      </c>
      <c r="BA39" s="98" t="str">
        <f t="shared" si="22"/>
        <v/>
      </c>
    </row>
    <row r="40" spans="1:53" ht="15" customHeight="1" thickBot="1" x14ac:dyDescent="0.4">
      <c r="A40" s="114"/>
      <c r="B40" s="4"/>
      <c r="C40" s="58"/>
      <c r="D40" s="49"/>
      <c r="E40" s="58"/>
      <c r="F40" s="62"/>
      <c r="G40" s="49"/>
      <c r="H40" s="49"/>
      <c r="I40" s="49"/>
      <c r="J40" s="49"/>
      <c r="K40" s="49"/>
      <c r="L40" s="49"/>
      <c r="M40" s="82"/>
      <c r="N40" s="54"/>
      <c r="O40" s="54"/>
      <c r="P40" s="58"/>
      <c r="Q40" s="7"/>
      <c r="R40" s="103">
        <f t="shared" si="5"/>
        <v>0</v>
      </c>
      <c r="S40" s="88"/>
      <c r="T40" s="155"/>
      <c r="U40" s="155"/>
      <c r="V40" s="9"/>
      <c r="W40" s="27" t="str">
        <f t="shared" si="23"/>
        <v/>
      </c>
      <c r="X40" s="29" t="str">
        <f t="shared" si="35"/>
        <v/>
      </c>
      <c r="Y40" s="29" t="str">
        <f t="shared" si="39"/>
        <v/>
      </c>
      <c r="Z40" s="29" t="str">
        <f t="shared" si="39"/>
        <v/>
      </c>
      <c r="AA40" s="29" t="str">
        <f t="shared" si="39"/>
        <v/>
      </c>
      <c r="AB40" s="29" t="str">
        <f t="shared" si="39"/>
        <v/>
      </c>
      <c r="AC40" s="29" t="str">
        <f t="shared" si="39"/>
        <v/>
      </c>
      <c r="AD40" s="29" t="str">
        <f t="shared" si="39"/>
        <v/>
      </c>
      <c r="AE40" s="29" t="str">
        <f t="shared" si="39"/>
        <v/>
      </c>
      <c r="AF40" s="29" t="str">
        <f t="shared" si="39"/>
        <v/>
      </c>
      <c r="AG40" s="29" t="str">
        <f t="shared" si="39"/>
        <v/>
      </c>
      <c r="AH40" s="29" t="str">
        <f t="shared" si="39"/>
        <v/>
      </c>
      <c r="AI40" s="29" t="str">
        <f t="shared" si="39"/>
        <v/>
      </c>
      <c r="AJ40" s="30" t="str">
        <f t="shared" si="8"/>
        <v/>
      </c>
      <c r="AL40" s="36">
        <f t="shared" si="37"/>
        <v>0</v>
      </c>
      <c r="AM40" s="36">
        <f t="shared" si="38"/>
        <v>0</v>
      </c>
      <c r="AN40" s="99" t="str">
        <f t="shared" si="9"/>
        <v/>
      </c>
      <c r="AO40" s="99" t="str">
        <f t="shared" si="10"/>
        <v/>
      </c>
      <c r="AP40" s="99" t="str">
        <f t="shared" si="11"/>
        <v/>
      </c>
      <c r="AQ40" s="99" t="str">
        <f t="shared" si="12"/>
        <v/>
      </c>
      <c r="AR40" s="99" t="str">
        <f t="shared" si="13"/>
        <v/>
      </c>
      <c r="AS40" s="99" t="str">
        <f t="shared" si="14"/>
        <v/>
      </c>
      <c r="AT40" s="99" t="str">
        <f t="shared" si="15"/>
        <v/>
      </c>
      <c r="AU40" s="99" t="str">
        <f t="shared" si="16"/>
        <v/>
      </c>
      <c r="AV40" s="99" t="str">
        <f t="shared" si="17"/>
        <v/>
      </c>
      <c r="AW40" s="99" t="str">
        <f t="shared" si="18"/>
        <v/>
      </c>
      <c r="AX40" s="99" t="str">
        <f t="shared" si="19"/>
        <v/>
      </c>
      <c r="AY40" s="99" t="str">
        <f t="shared" si="20"/>
        <v/>
      </c>
      <c r="AZ40" s="99" t="str">
        <f t="shared" si="21"/>
        <v/>
      </c>
      <c r="BA40" s="98" t="str">
        <f t="shared" si="22"/>
        <v/>
      </c>
    </row>
    <row r="41" spans="1:53" ht="14.5" x14ac:dyDescent="0.35">
      <c r="A41" s="112">
        <v>7</v>
      </c>
      <c r="B41" s="5"/>
      <c r="C41" s="69"/>
      <c r="D41" s="60"/>
      <c r="E41" s="69"/>
      <c r="F41" s="59"/>
      <c r="G41" s="60"/>
      <c r="H41" s="60"/>
      <c r="I41" s="60"/>
      <c r="J41" s="60"/>
      <c r="K41" s="60"/>
      <c r="L41" s="60"/>
      <c r="M41" s="80"/>
      <c r="N41" s="79"/>
      <c r="O41" s="79"/>
      <c r="P41" s="69"/>
      <c r="Q41" s="8"/>
      <c r="R41" s="70">
        <f t="shared" si="5"/>
        <v>0</v>
      </c>
      <c r="S41" s="87"/>
      <c r="T41" s="153"/>
      <c r="U41" s="153"/>
      <c r="V41" s="9"/>
      <c r="W41" s="27" t="str">
        <f t="shared" ref="W41:W72" si="40">IF(COUNT(D41:Q41)&gt;0,ROUND(2*SUM(N41:Q41)/7*20,0)/2,"")</f>
        <v/>
      </c>
      <c r="X41" s="29" t="str">
        <f t="shared" si="35"/>
        <v/>
      </c>
      <c r="Y41" s="29" t="str">
        <f t="shared" si="39"/>
        <v/>
      </c>
      <c r="Z41" s="29" t="str">
        <f t="shared" si="39"/>
        <v/>
      </c>
      <c r="AA41" s="29" t="str">
        <f t="shared" si="39"/>
        <v/>
      </c>
      <c r="AB41" s="29" t="str">
        <f t="shared" si="39"/>
        <v/>
      </c>
      <c r="AC41" s="29" t="str">
        <f t="shared" si="39"/>
        <v/>
      </c>
      <c r="AD41" s="29" t="str">
        <f t="shared" si="39"/>
        <v/>
      </c>
      <c r="AE41" s="29" t="str">
        <f t="shared" si="39"/>
        <v/>
      </c>
      <c r="AF41" s="29" t="str">
        <f t="shared" si="39"/>
        <v/>
      </c>
      <c r="AG41" s="29" t="str">
        <f t="shared" si="39"/>
        <v/>
      </c>
      <c r="AH41" s="29" t="str">
        <f t="shared" si="39"/>
        <v/>
      </c>
      <c r="AI41" s="29" t="str">
        <f t="shared" si="39"/>
        <v/>
      </c>
      <c r="AJ41" s="30" t="str">
        <f t="shared" si="8"/>
        <v/>
      </c>
      <c r="AL41" s="36">
        <f t="shared" si="37"/>
        <v>0</v>
      </c>
      <c r="AM41" s="36">
        <f t="shared" si="38"/>
        <v>0</v>
      </c>
      <c r="AN41" s="99" t="str">
        <f t="shared" si="9"/>
        <v/>
      </c>
      <c r="AO41" s="99" t="str">
        <f t="shared" si="10"/>
        <v/>
      </c>
      <c r="AP41" s="99" t="str">
        <f t="shared" si="11"/>
        <v/>
      </c>
      <c r="AQ41" s="99" t="str">
        <f t="shared" si="12"/>
        <v/>
      </c>
      <c r="AR41" s="99" t="str">
        <f t="shared" si="13"/>
        <v/>
      </c>
      <c r="AS41" s="99" t="str">
        <f t="shared" si="14"/>
        <v/>
      </c>
      <c r="AT41" s="99" t="str">
        <f t="shared" si="15"/>
        <v/>
      </c>
      <c r="AU41" s="99" t="str">
        <f t="shared" si="16"/>
        <v/>
      </c>
      <c r="AV41" s="99" t="str">
        <f t="shared" si="17"/>
        <v/>
      </c>
      <c r="AW41" s="99" t="str">
        <f t="shared" si="18"/>
        <v/>
      </c>
      <c r="AX41" s="99" t="str">
        <f t="shared" si="19"/>
        <v/>
      </c>
      <c r="AY41" s="99" t="str">
        <f t="shared" si="20"/>
        <v/>
      </c>
      <c r="AZ41" s="99" t="str">
        <f t="shared" si="21"/>
        <v/>
      </c>
      <c r="BA41" s="98" t="str">
        <f t="shared" si="22"/>
        <v/>
      </c>
    </row>
    <row r="42" spans="1:53" ht="15" customHeight="1" x14ac:dyDescent="0.35">
      <c r="A42" s="113"/>
      <c r="B42" s="3"/>
      <c r="C42" s="50"/>
      <c r="D42" s="48"/>
      <c r="E42" s="50"/>
      <c r="F42" s="61"/>
      <c r="G42" s="48"/>
      <c r="H42" s="48"/>
      <c r="I42" s="48"/>
      <c r="J42" s="48"/>
      <c r="K42" s="48"/>
      <c r="L42" s="48"/>
      <c r="M42" s="81"/>
      <c r="N42" s="53"/>
      <c r="O42" s="53"/>
      <c r="P42" s="50"/>
      <c r="Q42" s="6"/>
      <c r="R42" s="70">
        <f t="shared" si="5"/>
        <v>0</v>
      </c>
      <c r="S42" s="87"/>
      <c r="T42" s="154"/>
      <c r="U42" s="154"/>
      <c r="V42" s="9"/>
      <c r="W42" s="27" t="str">
        <f t="shared" si="40"/>
        <v/>
      </c>
      <c r="X42" s="29" t="str">
        <f t="shared" si="35"/>
        <v/>
      </c>
      <c r="Y42" s="29" t="str">
        <f t="shared" si="39"/>
        <v/>
      </c>
      <c r="Z42" s="29" t="str">
        <f t="shared" si="39"/>
        <v/>
      </c>
      <c r="AA42" s="29" t="str">
        <f t="shared" si="39"/>
        <v/>
      </c>
      <c r="AB42" s="29" t="str">
        <f t="shared" si="39"/>
        <v/>
      </c>
      <c r="AC42" s="29" t="str">
        <f t="shared" si="39"/>
        <v/>
      </c>
      <c r="AD42" s="29" t="str">
        <f t="shared" si="39"/>
        <v/>
      </c>
      <c r="AE42" s="29" t="str">
        <f t="shared" si="39"/>
        <v/>
      </c>
      <c r="AF42" s="29" t="str">
        <f t="shared" si="39"/>
        <v/>
      </c>
      <c r="AG42" s="29" t="str">
        <f t="shared" si="39"/>
        <v/>
      </c>
      <c r="AH42" s="29" t="str">
        <f t="shared" si="39"/>
        <v/>
      </c>
      <c r="AI42" s="29" t="str">
        <f t="shared" si="39"/>
        <v/>
      </c>
      <c r="AJ42" s="30" t="str">
        <f t="shared" si="8"/>
        <v/>
      </c>
      <c r="AL42" s="36">
        <f t="shared" si="37"/>
        <v>0</v>
      </c>
      <c r="AM42" s="36">
        <f t="shared" si="38"/>
        <v>0</v>
      </c>
      <c r="AN42" s="99" t="str">
        <f t="shared" si="9"/>
        <v/>
      </c>
      <c r="AO42" s="99" t="str">
        <f t="shared" si="10"/>
        <v/>
      </c>
      <c r="AP42" s="99" t="str">
        <f t="shared" si="11"/>
        <v/>
      </c>
      <c r="AQ42" s="99" t="str">
        <f t="shared" si="12"/>
        <v/>
      </c>
      <c r="AR42" s="99" t="str">
        <f t="shared" si="13"/>
        <v/>
      </c>
      <c r="AS42" s="99" t="str">
        <f t="shared" si="14"/>
        <v/>
      </c>
      <c r="AT42" s="99" t="str">
        <f t="shared" si="15"/>
        <v/>
      </c>
      <c r="AU42" s="99" t="str">
        <f t="shared" si="16"/>
        <v/>
      </c>
      <c r="AV42" s="99" t="str">
        <f t="shared" si="17"/>
        <v/>
      </c>
      <c r="AW42" s="99" t="str">
        <f t="shared" si="18"/>
        <v/>
      </c>
      <c r="AX42" s="99" t="str">
        <f t="shared" si="19"/>
        <v/>
      </c>
      <c r="AY42" s="99" t="str">
        <f t="shared" si="20"/>
        <v/>
      </c>
      <c r="AZ42" s="99" t="str">
        <f t="shared" si="21"/>
        <v/>
      </c>
      <c r="BA42" s="98" t="str">
        <f t="shared" si="22"/>
        <v/>
      </c>
    </row>
    <row r="43" spans="1:53" ht="15" customHeight="1" x14ac:dyDescent="0.35">
      <c r="A43" s="113"/>
      <c r="B43" s="3"/>
      <c r="C43" s="50"/>
      <c r="D43" s="48"/>
      <c r="E43" s="50"/>
      <c r="F43" s="61"/>
      <c r="G43" s="48"/>
      <c r="H43" s="48"/>
      <c r="I43" s="48"/>
      <c r="J43" s="48"/>
      <c r="K43" s="48"/>
      <c r="L43" s="48"/>
      <c r="M43" s="81"/>
      <c r="N43" s="53"/>
      <c r="O43" s="53"/>
      <c r="P43" s="50"/>
      <c r="Q43" s="6"/>
      <c r="R43" s="70">
        <f t="shared" si="5"/>
        <v>0</v>
      </c>
      <c r="S43" s="87"/>
      <c r="T43" s="154"/>
      <c r="U43" s="154"/>
      <c r="V43" s="9"/>
      <c r="W43" s="27" t="str">
        <f t="shared" si="40"/>
        <v/>
      </c>
      <c r="X43" s="29" t="str">
        <f t="shared" si="35"/>
        <v/>
      </c>
      <c r="Y43" s="29" t="str">
        <f t="shared" si="39"/>
        <v/>
      </c>
      <c r="Z43" s="29" t="str">
        <f t="shared" si="39"/>
        <v/>
      </c>
      <c r="AA43" s="29" t="str">
        <f t="shared" si="39"/>
        <v/>
      </c>
      <c r="AB43" s="29" t="str">
        <f t="shared" si="39"/>
        <v/>
      </c>
      <c r="AC43" s="29" t="str">
        <f t="shared" si="39"/>
        <v/>
      </c>
      <c r="AD43" s="29" t="str">
        <f t="shared" si="39"/>
        <v/>
      </c>
      <c r="AE43" s="29" t="str">
        <f t="shared" si="39"/>
        <v/>
      </c>
      <c r="AF43" s="29" t="str">
        <f t="shared" si="39"/>
        <v/>
      </c>
      <c r="AG43" s="29" t="str">
        <f t="shared" si="39"/>
        <v/>
      </c>
      <c r="AH43" s="29" t="str">
        <f t="shared" si="39"/>
        <v/>
      </c>
      <c r="AI43" s="29" t="str">
        <f t="shared" si="39"/>
        <v/>
      </c>
      <c r="AJ43" s="30" t="str">
        <f t="shared" si="8"/>
        <v/>
      </c>
      <c r="AL43" s="36">
        <f t="shared" si="37"/>
        <v>0</v>
      </c>
      <c r="AM43" s="36">
        <f t="shared" si="38"/>
        <v>0</v>
      </c>
      <c r="AN43" s="99" t="str">
        <f t="shared" si="9"/>
        <v/>
      </c>
      <c r="AO43" s="99" t="str">
        <f t="shared" si="10"/>
        <v/>
      </c>
      <c r="AP43" s="99" t="str">
        <f t="shared" si="11"/>
        <v/>
      </c>
      <c r="AQ43" s="99" t="str">
        <f t="shared" si="12"/>
        <v/>
      </c>
      <c r="AR43" s="99" t="str">
        <f t="shared" si="13"/>
        <v/>
      </c>
      <c r="AS43" s="99" t="str">
        <f t="shared" si="14"/>
        <v/>
      </c>
      <c r="AT43" s="99" t="str">
        <f t="shared" si="15"/>
        <v/>
      </c>
      <c r="AU43" s="99" t="str">
        <f t="shared" si="16"/>
        <v/>
      </c>
      <c r="AV43" s="99" t="str">
        <f t="shared" si="17"/>
        <v/>
      </c>
      <c r="AW43" s="99" t="str">
        <f t="shared" si="18"/>
        <v/>
      </c>
      <c r="AX43" s="99" t="str">
        <f t="shared" si="19"/>
        <v/>
      </c>
      <c r="AY43" s="99" t="str">
        <f t="shared" si="20"/>
        <v/>
      </c>
      <c r="AZ43" s="99" t="str">
        <f t="shared" si="21"/>
        <v/>
      </c>
      <c r="BA43" s="98" t="str">
        <f t="shared" si="22"/>
        <v/>
      </c>
    </row>
    <row r="44" spans="1:53" ht="15" customHeight="1" x14ac:dyDescent="0.35">
      <c r="A44" s="113"/>
      <c r="B44" s="3"/>
      <c r="C44" s="50"/>
      <c r="D44" s="48"/>
      <c r="E44" s="50"/>
      <c r="F44" s="61"/>
      <c r="G44" s="48"/>
      <c r="H44" s="48"/>
      <c r="I44" s="48"/>
      <c r="J44" s="48"/>
      <c r="K44" s="48"/>
      <c r="L44" s="48"/>
      <c r="M44" s="81"/>
      <c r="N44" s="53"/>
      <c r="O44" s="53"/>
      <c r="P44" s="50"/>
      <c r="Q44" s="6"/>
      <c r="R44" s="70">
        <f t="shared" si="5"/>
        <v>0</v>
      </c>
      <c r="S44" s="87"/>
      <c r="T44" s="154"/>
      <c r="U44" s="154"/>
      <c r="V44" s="9"/>
      <c r="W44" s="27" t="str">
        <f t="shared" si="40"/>
        <v/>
      </c>
      <c r="X44" s="29" t="str">
        <f t="shared" si="35"/>
        <v/>
      </c>
      <c r="Y44" s="29" t="str">
        <f t="shared" si="39"/>
        <v/>
      </c>
      <c r="Z44" s="29" t="str">
        <f t="shared" si="39"/>
        <v/>
      </c>
      <c r="AA44" s="29" t="str">
        <f t="shared" si="39"/>
        <v/>
      </c>
      <c r="AB44" s="29" t="str">
        <f t="shared" si="39"/>
        <v/>
      </c>
      <c r="AC44" s="29" t="str">
        <f t="shared" si="39"/>
        <v/>
      </c>
      <c r="AD44" s="29" t="str">
        <f t="shared" si="39"/>
        <v/>
      </c>
      <c r="AE44" s="29" t="str">
        <f t="shared" si="39"/>
        <v/>
      </c>
      <c r="AF44" s="29" t="str">
        <f t="shared" si="39"/>
        <v/>
      </c>
      <c r="AG44" s="29" t="str">
        <f t="shared" si="39"/>
        <v/>
      </c>
      <c r="AH44" s="29" t="str">
        <f t="shared" si="39"/>
        <v/>
      </c>
      <c r="AI44" s="29" t="str">
        <f t="shared" si="39"/>
        <v/>
      </c>
      <c r="AJ44" s="30" t="str">
        <f t="shared" si="8"/>
        <v/>
      </c>
      <c r="AL44" s="36">
        <f t="shared" si="37"/>
        <v>0</v>
      </c>
      <c r="AM44" s="36">
        <f t="shared" si="38"/>
        <v>0</v>
      </c>
      <c r="AN44" s="99" t="str">
        <f t="shared" si="9"/>
        <v/>
      </c>
      <c r="AO44" s="99" t="str">
        <f t="shared" si="10"/>
        <v/>
      </c>
      <c r="AP44" s="99" t="str">
        <f t="shared" si="11"/>
        <v/>
      </c>
      <c r="AQ44" s="99" t="str">
        <f t="shared" si="12"/>
        <v/>
      </c>
      <c r="AR44" s="99" t="str">
        <f t="shared" si="13"/>
        <v/>
      </c>
      <c r="AS44" s="99" t="str">
        <f t="shared" si="14"/>
        <v/>
      </c>
      <c r="AT44" s="99" t="str">
        <f t="shared" si="15"/>
        <v/>
      </c>
      <c r="AU44" s="99" t="str">
        <f t="shared" si="16"/>
        <v/>
      </c>
      <c r="AV44" s="99" t="str">
        <f t="shared" si="17"/>
        <v/>
      </c>
      <c r="AW44" s="99" t="str">
        <f t="shared" si="18"/>
        <v/>
      </c>
      <c r="AX44" s="99" t="str">
        <f t="shared" si="19"/>
        <v/>
      </c>
      <c r="AY44" s="99" t="str">
        <f t="shared" si="20"/>
        <v/>
      </c>
      <c r="AZ44" s="99" t="str">
        <f t="shared" si="21"/>
        <v/>
      </c>
      <c r="BA44" s="98" t="str">
        <f t="shared" si="22"/>
        <v/>
      </c>
    </row>
    <row r="45" spans="1:53" ht="15" customHeight="1" x14ac:dyDescent="0.35">
      <c r="A45" s="113"/>
      <c r="B45" s="3"/>
      <c r="C45" s="50"/>
      <c r="D45" s="48"/>
      <c r="E45" s="50"/>
      <c r="F45" s="61"/>
      <c r="G45" s="48"/>
      <c r="H45" s="48"/>
      <c r="I45" s="48"/>
      <c r="J45" s="48"/>
      <c r="K45" s="48"/>
      <c r="L45" s="48"/>
      <c r="M45" s="81"/>
      <c r="N45" s="53"/>
      <c r="O45" s="53"/>
      <c r="P45" s="50"/>
      <c r="Q45" s="6"/>
      <c r="R45" s="70">
        <f t="shared" si="5"/>
        <v>0</v>
      </c>
      <c r="S45" s="87"/>
      <c r="T45" s="154"/>
      <c r="U45" s="154"/>
      <c r="V45" s="9"/>
      <c r="W45" s="27" t="str">
        <f t="shared" si="40"/>
        <v/>
      </c>
      <c r="X45" s="29" t="str">
        <f t="shared" si="35"/>
        <v/>
      </c>
      <c r="Y45" s="29" t="str">
        <f t="shared" si="39"/>
        <v/>
      </c>
      <c r="Z45" s="29" t="str">
        <f t="shared" si="39"/>
        <v/>
      </c>
      <c r="AA45" s="29" t="str">
        <f t="shared" si="39"/>
        <v/>
      </c>
      <c r="AB45" s="29" t="str">
        <f t="shared" si="39"/>
        <v/>
      </c>
      <c r="AC45" s="29" t="str">
        <f t="shared" si="39"/>
        <v/>
      </c>
      <c r="AD45" s="29" t="str">
        <f t="shared" si="39"/>
        <v/>
      </c>
      <c r="AE45" s="29" t="str">
        <f t="shared" si="39"/>
        <v/>
      </c>
      <c r="AF45" s="29" t="str">
        <f t="shared" si="39"/>
        <v/>
      </c>
      <c r="AG45" s="29" t="str">
        <f t="shared" si="39"/>
        <v/>
      </c>
      <c r="AH45" s="29" t="str">
        <f t="shared" si="39"/>
        <v/>
      </c>
      <c r="AI45" s="29" t="str">
        <f t="shared" si="39"/>
        <v/>
      </c>
      <c r="AJ45" s="30" t="str">
        <f t="shared" si="8"/>
        <v/>
      </c>
      <c r="AL45" s="36">
        <f t="shared" si="37"/>
        <v>0</v>
      </c>
      <c r="AM45" s="36">
        <f t="shared" si="38"/>
        <v>0</v>
      </c>
      <c r="AN45" s="99" t="str">
        <f t="shared" si="9"/>
        <v/>
      </c>
      <c r="AO45" s="99" t="str">
        <f t="shared" si="10"/>
        <v/>
      </c>
      <c r="AP45" s="99" t="str">
        <f t="shared" si="11"/>
        <v/>
      </c>
      <c r="AQ45" s="99" t="str">
        <f t="shared" si="12"/>
        <v/>
      </c>
      <c r="AR45" s="99" t="str">
        <f t="shared" si="13"/>
        <v/>
      </c>
      <c r="AS45" s="99" t="str">
        <f t="shared" si="14"/>
        <v/>
      </c>
      <c r="AT45" s="99" t="str">
        <f t="shared" si="15"/>
        <v/>
      </c>
      <c r="AU45" s="99" t="str">
        <f t="shared" si="16"/>
        <v/>
      </c>
      <c r="AV45" s="99" t="str">
        <f t="shared" si="17"/>
        <v/>
      </c>
      <c r="AW45" s="99" t="str">
        <f t="shared" si="18"/>
        <v/>
      </c>
      <c r="AX45" s="99" t="str">
        <f t="shared" si="19"/>
        <v/>
      </c>
      <c r="AY45" s="99" t="str">
        <f t="shared" si="20"/>
        <v/>
      </c>
      <c r="AZ45" s="99" t="str">
        <f t="shared" si="21"/>
        <v/>
      </c>
      <c r="BA45" s="98" t="str">
        <f t="shared" si="22"/>
        <v/>
      </c>
    </row>
    <row r="46" spans="1:53" ht="15" customHeight="1" thickBot="1" x14ac:dyDescent="0.4">
      <c r="A46" s="114"/>
      <c r="B46" s="4"/>
      <c r="C46" s="58"/>
      <c r="D46" s="49"/>
      <c r="E46" s="58"/>
      <c r="F46" s="62"/>
      <c r="G46" s="49"/>
      <c r="H46" s="49"/>
      <c r="I46" s="49"/>
      <c r="J46" s="49"/>
      <c r="K46" s="49"/>
      <c r="L46" s="49"/>
      <c r="M46" s="82"/>
      <c r="N46" s="54"/>
      <c r="O46" s="54"/>
      <c r="P46" s="58"/>
      <c r="Q46" s="7"/>
      <c r="R46" s="101">
        <f t="shared" si="5"/>
        <v>0</v>
      </c>
      <c r="S46" s="88"/>
      <c r="T46" s="155"/>
      <c r="U46" s="155"/>
      <c r="V46" s="9"/>
      <c r="W46" s="27" t="str">
        <f t="shared" si="40"/>
        <v/>
      </c>
      <c r="X46" s="29" t="str">
        <f t="shared" si="35"/>
        <v/>
      </c>
      <c r="Y46" s="29" t="str">
        <f t="shared" si="39"/>
        <v/>
      </c>
      <c r="Z46" s="29" t="str">
        <f t="shared" si="39"/>
        <v/>
      </c>
      <c r="AA46" s="29" t="str">
        <f t="shared" si="39"/>
        <v/>
      </c>
      <c r="AB46" s="29" t="str">
        <f t="shared" si="39"/>
        <v/>
      </c>
      <c r="AC46" s="29" t="str">
        <f t="shared" si="39"/>
        <v/>
      </c>
      <c r="AD46" s="29" t="str">
        <f t="shared" si="39"/>
        <v/>
      </c>
      <c r="AE46" s="29" t="str">
        <f t="shared" si="39"/>
        <v/>
      </c>
      <c r="AF46" s="29" t="str">
        <f t="shared" si="39"/>
        <v/>
      </c>
      <c r="AG46" s="29" t="str">
        <f t="shared" si="39"/>
        <v/>
      </c>
      <c r="AH46" s="29" t="str">
        <f t="shared" si="39"/>
        <v/>
      </c>
      <c r="AI46" s="29" t="str">
        <f t="shared" si="39"/>
        <v/>
      </c>
      <c r="AJ46" s="30" t="str">
        <f t="shared" si="8"/>
        <v/>
      </c>
      <c r="AL46" s="36">
        <f t="shared" si="37"/>
        <v>0</v>
      </c>
      <c r="AM46" s="36">
        <f t="shared" si="38"/>
        <v>0</v>
      </c>
      <c r="AN46" s="99" t="str">
        <f t="shared" si="9"/>
        <v/>
      </c>
      <c r="AO46" s="99" t="str">
        <f t="shared" si="10"/>
        <v/>
      </c>
      <c r="AP46" s="99" t="str">
        <f t="shared" si="11"/>
        <v/>
      </c>
      <c r="AQ46" s="99" t="str">
        <f t="shared" si="12"/>
        <v/>
      </c>
      <c r="AR46" s="99" t="str">
        <f t="shared" si="13"/>
        <v/>
      </c>
      <c r="AS46" s="99" t="str">
        <f t="shared" si="14"/>
        <v/>
      </c>
      <c r="AT46" s="99" t="str">
        <f t="shared" si="15"/>
        <v/>
      </c>
      <c r="AU46" s="99" t="str">
        <f t="shared" si="16"/>
        <v/>
      </c>
      <c r="AV46" s="99" t="str">
        <f t="shared" si="17"/>
        <v/>
      </c>
      <c r="AW46" s="99" t="str">
        <f t="shared" si="18"/>
        <v/>
      </c>
      <c r="AX46" s="99" t="str">
        <f t="shared" si="19"/>
        <v/>
      </c>
      <c r="AY46" s="99" t="str">
        <f t="shared" si="20"/>
        <v/>
      </c>
      <c r="AZ46" s="99" t="str">
        <f t="shared" si="21"/>
        <v/>
      </c>
      <c r="BA46" s="98" t="str">
        <f t="shared" si="22"/>
        <v/>
      </c>
    </row>
    <row r="47" spans="1:53" ht="14.5" x14ac:dyDescent="0.35">
      <c r="A47" s="112">
        <v>8</v>
      </c>
      <c r="B47" s="5"/>
      <c r="C47" s="69"/>
      <c r="D47" s="60"/>
      <c r="E47" s="69"/>
      <c r="F47" s="59"/>
      <c r="G47" s="60"/>
      <c r="H47" s="60"/>
      <c r="I47" s="60"/>
      <c r="J47" s="60"/>
      <c r="K47" s="60"/>
      <c r="L47" s="60"/>
      <c r="M47" s="80"/>
      <c r="N47" s="79"/>
      <c r="O47" s="79"/>
      <c r="P47" s="69"/>
      <c r="Q47" s="8"/>
      <c r="R47" s="102">
        <f t="shared" si="5"/>
        <v>0</v>
      </c>
      <c r="S47" s="87"/>
      <c r="T47" s="153"/>
      <c r="U47" s="153"/>
      <c r="V47" s="9"/>
      <c r="W47" s="27" t="str">
        <f t="shared" si="40"/>
        <v/>
      </c>
      <c r="X47" s="29" t="str">
        <f t="shared" si="35"/>
        <v/>
      </c>
      <c r="Y47" s="29" t="str">
        <f t="shared" si="39"/>
        <v/>
      </c>
      <c r="Z47" s="29" t="str">
        <f t="shared" si="39"/>
        <v/>
      </c>
      <c r="AA47" s="29" t="str">
        <f t="shared" si="39"/>
        <v/>
      </c>
      <c r="AB47" s="29" t="str">
        <f t="shared" si="39"/>
        <v/>
      </c>
      <c r="AC47" s="29" t="str">
        <f t="shared" si="39"/>
        <v/>
      </c>
      <c r="AD47" s="29" t="str">
        <f t="shared" si="39"/>
        <v/>
      </c>
      <c r="AE47" s="29" t="str">
        <f t="shared" si="39"/>
        <v/>
      </c>
      <c r="AF47" s="29" t="str">
        <f t="shared" si="39"/>
        <v/>
      </c>
      <c r="AG47" s="29" t="str">
        <f t="shared" si="39"/>
        <v/>
      </c>
      <c r="AH47" s="29" t="str">
        <f t="shared" si="39"/>
        <v/>
      </c>
      <c r="AI47" s="29" t="str">
        <f t="shared" si="39"/>
        <v/>
      </c>
      <c r="AJ47" s="30" t="str">
        <f t="shared" si="8"/>
        <v/>
      </c>
      <c r="AL47" s="36">
        <f t="shared" si="37"/>
        <v>0</v>
      </c>
      <c r="AM47" s="36">
        <f t="shared" si="38"/>
        <v>0</v>
      </c>
      <c r="AN47" s="99" t="str">
        <f t="shared" si="9"/>
        <v/>
      </c>
      <c r="AO47" s="99" t="str">
        <f t="shared" si="10"/>
        <v/>
      </c>
      <c r="AP47" s="99" t="str">
        <f t="shared" si="11"/>
        <v/>
      </c>
      <c r="AQ47" s="99" t="str">
        <f t="shared" si="12"/>
        <v/>
      </c>
      <c r="AR47" s="99" t="str">
        <f t="shared" si="13"/>
        <v/>
      </c>
      <c r="AS47" s="99" t="str">
        <f t="shared" si="14"/>
        <v/>
      </c>
      <c r="AT47" s="99" t="str">
        <f t="shared" si="15"/>
        <v/>
      </c>
      <c r="AU47" s="99" t="str">
        <f t="shared" si="16"/>
        <v/>
      </c>
      <c r="AV47" s="99" t="str">
        <f t="shared" si="17"/>
        <v/>
      </c>
      <c r="AW47" s="99" t="str">
        <f t="shared" si="18"/>
        <v/>
      </c>
      <c r="AX47" s="99" t="str">
        <f t="shared" si="19"/>
        <v/>
      </c>
      <c r="AY47" s="99" t="str">
        <f t="shared" si="20"/>
        <v/>
      </c>
      <c r="AZ47" s="99" t="str">
        <f t="shared" si="21"/>
        <v/>
      </c>
      <c r="BA47" s="98" t="str">
        <f t="shared" si="22"/>
        <v/>
      </c>
    </row>
    <row r="48" spans="1:53" ht="14.5" x14ac:dyDescent="0.35">
      <c r="A48" s="113"/>
      <c r="B48" s="3"/>
      <c r="C48" s="50"/>
      <c r="D48" s="48"/>
      <c r="E48" s="50"/>
      <c r="F48" s="61"/>
      <c r="G48" s="48"/>
      <c r="H48" s="48"/>
      <c r="I48" s="48"/>
      <c r="J48" s="48"/>
      <c r="K48" s="48"/>
      <c r="L48" s="48"/>
      <c r="M48" s="81"/>
      <c r="N48" s="53"/>
      <c r="O48" s="53"/>
      <c r="P48" s="50"/>
      <c r="Q48" s="6"/>
      <c r="R48" s="70">
        <f t="shared" si="5"/>
        <v>0</v>
      </c>
      <c r="S48" s="87"/>
      <c r="T48" s="154"/>
      <c r="U48" s="154"/>
      <c r="V48" s="9"/>
      <c r="W48" s="27" t="str">
        <f t="shared" si="40"/>
        <v/>
      </c>
      <c r="X48" s="29" t="str">
        <f t="shared" si="35"/>
        <v/>
      </c>
      <c r="Y48" s="29" t="str">
        <f t="shared" si="39"/>
        <v/>
      </c>
      <c r="Z48" s="29" t="str">
        <f t="shared" si="39"/>
        <v/>
      </c>
      <c r="AA48" s="29" t="str">
        <f t="shared" si="39"/>
        <v/>
      </c>
      <c r="AB48" s="29" t="str">
        <f t="shared" si="39"/>
        <v/>
      </c>
      <c r="AC48" s="29" t="str">
        <f t="shared" si="39"/>
        <v/>
      </c>
      <c r="AD48" s="29" t="str">
        <f t="shared" si="39"/>
        <v/>
      </c>
      <c r="AE48" s="29" t="str">
        <f t="shared" si="39"/>
        <v/>
      </c>
      <c r="AF48" s="29" t="str">
        <f t="shared" si="39"/>
        <v/>
      </c>
      <c r="AG48" s="29" t="str">
        <f t="shared" si="39"/>
        <v/>
      </c>
      <c r="AH48" s="29" t="str">
        <f t="shared" si="39"/>
        <v/>
      </c>
      <c r="AI48" s="29" t="str">
        <f t="shared" si="39"/>
        <v/>
      </c>
      <c r="AJ48" s="30" t="str">
        <f t="shared" si="8"/>
        <v/>
      </c>
      <c r="AL48" s="36">
        <f t="shared" si="37"/>
        <v>0</v>
      </c>
      <c r="AM48" s="36">
        <f t="shared" si="38"/>
        <v>0</v>
      </c>
      <c r="AN48" s="99" t="str">
        <f t="shared" si="9"/>
        <v/>
      </c>
      <c r="AO48" s="99" t="str">
        <f t="shared" si="10"/>
        <v/>
      </c>
      <c r="AP48" s="99" t="str">
        <f t="shared" si="11"/>
        <v/>
      </c>
      <c r="AQ48" s="99" t="str">
        <f t="shared" si="12"/>
        <v/>
      </c>
      <c r="AR48" s="99" t="str">
        <f t="shared" si="13"/>
        <v/>
      </c>
      <c r="AS48" s="99" t="str">
        <f t="shared" si="14"/>
        <v/>
      </c>
      <c r="AT48" s="99" t="str">
        <f t="shared" si="15"/>
        <v/>
      </c>
      <c r="AU48" s="99" t="str">
        <f t="shared" si="16"/>
        <v/>
      </c>
      <c r="AV48" s="99" t="str">
        <f t="shared" si="17"/>
        <v/>
      </c>
      <c r="AW48" s="99" t="str">
        <f t="shared" si="18"/>
        <v/>
      </c>
      <c r="AX48" s="99" t="str">
        <f t="shared" si="19"/>
        <v/>
      </c>
      <c r="AY48" s="99" t="str">
        <f t="shared" si="20"/>
        <v/>
      </c>
      <c r="AZ48" s="99" t="str">
        <f t="shared" si="21"/>
        <v/>
      </c>
      <c r="BA48" s="98" t="str">
        <f t="shared" si="22"/>
        <v/>
      </c>
    </row>
    <row r="49" spans="1:53" ht="14.5" x14ac:dyDescent="0.35">
      <c r="A49" s="113"/>
      <c r="B49" s="3"/>
      <c r="C49" s="50"/>
      <c r="D49" s="48"/>
      <c r="E49" s="50"/>
      <c r="F49" s="61"/>
      <c r="G49" s="48"/>
      <c r="H49" s="48"/>
      <c r="I49" s="48"/>
      <c r="J49" s="48"/>
      <c r="K49" s="48"/>
      <c r="L49" s="48"/>
      <c r="M49" s="81"/>
      <c r="N49" s="53"/>
      <c r="O49" s="53"/>
      <c r="P49" s="50"/>
      <c r="Q49" s="6"/>
      <c r="R49" s="70">
        <f t="shared" si="5"/>
        <v>0</v>
      </c>
      <c r="S49" s="87"/>
      <c r="T49" s="154"/>
      <c r="U49" s="154"/>
      <c r="V49" s="9"/>
      <c r="W49" s="27" t="str">
        <f t="shared" si="40"/>
        <v/>
      </c>
      <c r="X49" s="29" t="str">
        <f t="shared" si="35"/>
        <v/>
      </c>
      <c r="Y49" s="29" t="str">
        <f t="shared" ref="Y49:AI58" si="41">IF(AND(Y$3&lt;&gt;"",$W49&lt;&gt;""),ROUND(2*($R49*(COUNT($X$3:$AI$3)+1)-$W49)*Y$3,0)/2,"")</f>
        <v/>
      </c>
      <c r="Z49" s="29" t="str">
        <f t="shared" si="41"/>
        <v/>
      </c>
      <c r="AA49" s="29" t="str">
        <f t="shared" si="41"/>
        <v/>
      </c>
      <c r="AB49" s="29" t="str">
        <f t="shared" si="41"/>
        <v/>
      </c>
      <c r="AC49" s="29" t="str">
        <f t="shared" si="41"/>
        <v/>
      </c>
      <c r="AD49" s="29" t="str">
        <f t="shared" si="41"/>
        <v/>
      </c>
      <c r="AE49" s="29" t="str">
        <f t="shared" si="41"/>
        <v/>
      </c>
      <c r="AF49" s="29" t="str">
        <f t="shared" si="41"/>
        <v/>
      </c>
      <c r="AG49" s="29" t="str">
        <f t="shared" si="41"/>
        <v/>
      </c>
      <c r="AH49" s="29" t="str">
        <f t="shared" si="41"/>
        <v/>
      </c>
      <c r="AI49" s="29" t="str">
        <f t="shared" si="41"/>
        <v/>
      </c>
      <c r="AJ49" s="30" t="str">
        <f t="shared" si="8"/>
        <v/>
      </c>
      <c r="AL49" s="36">
        <f t="shared" si="37"/>
        <v>0</v>
      </c>
      <c r="AM49" s="36">
        <f t="shared" si="38"/>
        <v>0</v>
      </c>
      <c r="AN49" s="99" t="str">
        <f t="shared" si="9"/>
        <v/>
      </c>
      <c r="AO49" s="99" t="str">
        <f t="shared" si="10"/>
        <v/>
      </c>
      <c r="AP49" s="99" t="str">
        <f t="shared" si="11"/>
        <v/>
      </c>
      <c r="AQ49" s="99" t="str">
        <f t="shared" si="12"/>
        <v/>
      </c>
      <c r="AR49" s="99" t="str">
        <f t="shared" si="13"/>
        <v/>
      </c>
      <c r="AS49" s="99" t="str">
        <f t="shared" si="14"/>
        <v/>
      </c>
      <c r="AT49" s="99" t="str">
        <f t="shared" si="15"/>
        <v/>
      </c>
      <c r="AU49" s="99" t="str">
        <f t="shared" si="16"/>
        <v/>
      </c>
      <c r="AV49" s="99" t="str">
        <f t="shared" si="17"/>
        <v/>
      </c>
      <c r="AW49" s="99" t="str">
        <f t="shared" si="18"/>
        <v/>
      </c>
      <c r="AX49" s="99" t="str">
        <f t="shared" si="19"/>
        <v/>
      </c>
      <c r="AY49" s="99" t="str">
        <f t="shared" si="20"/>
        <v/>
      </c>
      <c r="AZ49" s="99" t="str">
        <f t="shared" si="21"/>
        <v/>
      </c>
      <c r="BA49" s="98" t="str">
        <f t="shared" si="22"/>
        <v/>
      </c>
    </row>
    <row r="50" spans="1:53" ht="15" customHeight="1" x14ac:dyDescent="0.35">
      <c r="A50" s="113"/>
      <c r="B50" s="3"/>
      <c r="C50" s="50"/>
      <c r="D50" s="48"/>
      <c r="E50" s="50"/>
      <c r="F50" s="61"/>
      <c r="G50" s="48"/>
      <c r="H50" s="48"/>
      <c r="I50" s="48"/>
      <c r="J50" s="48"/>
      <c r="K50" s="48"/>
      <c r="L50" s="48"/>
      <c r="M50" s="81"/>
      <c r="N50" s="53"/>
      <c r="O50" s="53"/>
      <c r="P50" s="50"/>
      <c r="Q50" s="6"/>
      <c r="R50" s="70">
        <f t="shared" si="5"/>
        <v>0</v>
      </c>
      <c r="S50" s="87"/>
      <c r="T50" s="154"/>
      <c r="U50" s="154"/>
      <c r="V50" s="9"/>
      <c r="W50" s="27" t="str">
        <f t="shared" si="40"/>
        <v/>
      </c>
      <c r="X50" s="29" t="str">
        <f t="shared" si="35"/>
        <v/>
      </c>
      <c r="Y50" s="29" t="str">
        <f t="shared" si="41"/>
        <v/>
      </c>
      <c r="Z50" s="29" t="str">
        <f t="shared" si="41"/>
        <v/>
      </c>
      <c r="AA50" s="29" t="str">
        <f t="shared" si="41"/>
        <v/>
      </c>
      <c r="AB50" s="29" t="str">
        <f t="shared" si="41"/>
        <v/>
      </c>
      <c r="AC50" s="29" t="str">
        <f t="shared" si="41"/>
        <v/>
      </c>
      <c r="AD50" s="29" t="str">
        <f t="shared" si="41"/>
        <v/>
      </c>
      <c r="AE50" s="29" t="str">
        <f t="shared" si="41"/>
        <v/>
      </c>
      <c r="AF50" s="29" t="str">
        <f t="shared" si="41"/>
        <v/>
      </c>
      <c r="AG50" s="29" t="str">
        <f t="shared" si="41"/>
        <v/>
      </c>
      <c r="AH50" s="29" t="str">
        <f t="shared" si="41"/>
        <v/>
      </c>
      <c r="AI50" s="29" t="str">
        <f t="shared" si="41"/>
        <v/>
      </c>
      <c r="AJ50" s="30" t="str">
        <f t="shared" si="8"/>
        <v/>
      </c>
      <c r="AL50" s="36">
        <f t="shared" si="37"/>
        <v>0</v>
      </c>
      <c r="AM50" s="36">
        <f t="shared" si="38"/>
        <v>0</v>
      </c>
      <c r="AN50" s="99" t="str">
        <f t="shared" si="9"/>
        <v/>
      </c>
      <c r="AO50" s="99" t="str">
        <f t="shared" si="10"/>
        <v/>
      </c>
      <c r="AP50" s="99" t="str">
        <f t="shared" si="11"/>
        <v/>
      </c>
      <c r="AQ50" s="99" t="str">
        <f t="shared" si="12"/>
        <v/>
      </c>
      <c r="AR50" s="99" t="str">
        <f t="shared" si="13"/>
        <v/>
      </c>
      <c r="AS50" s="99" t="str">
        <f t="shared" si="14"/>
        <v/>
      </c>
      <c r="AT50" s="99" t="str">
        <f t="shared" si="15"/>
        <v/>
      </c>
      <c r="AU50" s="99" t="str">
        <f t="shared" si="16"/>
        <v/>
      </c>
      <c r="AV50" s="99" t="str">
        <f t="shared" si="17"/>
        <v/>
      </c>
      <c r="AW50" s="99" t="str">
        <f t="shared" si="18"/>
        <v/>
      </c>
      <c r="AX50" s="99" t="str">
        <f t="shared" si="19"/>
        <v/>
      </c>
      <c r="AY50" s="99" t="str">
        <f t="shared" si="20"/>
        <v/>
      </c>
      <c r="AZ50" s="99" t="str">
        <f t="shared" si="21"/>
        <v/>
      </c>
      <c r="BA50" s="98" t="str">
        <f t="shared" si="22"/>
        <v/>
      </c>
    </row>
    <row r="51" spans="1:53" ht="15" customHeight="1" x14ac:dyDescent="0.35">
      <c r="A51" s="113"/>
      <c r="B51" s="3"/>
      <c r="C51" s="50"/>
      <c r="D51" s="48"/>
      <c r="E51" s="50"/>
      <c r="F51" s="61"/>
      <c r="G51" s="48"/>
      <c r="H51" s="48"/>
      <c r="I51" s="48"/>
      <c r="J51" s="48"/>
      <c r="K51" s="48"/>
      <c r="L51" s="48"/>
      <c r="M51" s="81"/>
      <c r="N51" s="53"/>
      <c r="O51" s="53"/>
      <c r="P51" s="50"/>
      <c r="Q51" s="6"/>
      <c r="R51" s="70">
        <f t="shared" si="5"/>
        <v>0</v>
      </c>
      <c r="S51" s="87"/>
      <c r="T51" s="154"/>
      <c r="U51" s="154"/>
      <c r="V51" s="9"/>
      <c r="W51" s="27" t="str">
        <f t="shared" si="40"/>
        <v/>
      </c>
      <c r="X51" s="29" t="str">
        <f t="shared" si="35"/>
        <v/>
      </c>
      <c r="Y51" s="29" t="str">
        <f t="shared" si="41"/>
        <v/>
      </c>
      <c r="Z51" s="29" t="str">
        <f t="shared" si="41"/>
        <v/>
      </c>
      <c r="AA51" s="29" t="str">
        <f t="shared" si="41"/>
        <v/>
      </c>
      <c r="AB51" s="29" t="str">
        <f t="shared" si="41"/>
        <v/>
      </c>
      <c r="AC51" s="29" t="str">
        <f t="shared" si="41"/>
        <v/>
      </c>
      <c r="AD51" s="29" t="str">
        <f t="shared" si="41"/>
        <v/>
      </c>
      <c r="AE51" s="29" t="str">
        <f t="shared" si="41"/>
        <v/>
      </c>
      <c r="AF51" s="29" t="str">
        <f t="shared" si="41"/>
        <v/>
      </c>
      <c r="AG51" s="29" t="str">
        <f t="shared" si="41"/>
        <v/>
      </c>
      <c r="AH51" s="29" t="str">
        <f t="shared" si="41"/>
        <v/>
      </c>
      <c r="AI51" s="29" t="str">
        <f t="shared" si="41"/>
        <v/>
      </c>
      <c r="AJ51" s="30" t="str">
        <f t="shared" si="8"/>
        <v/>
      </c>
      <c r="AL51" s="36">
        <f t="shared" si="37"/>
        <v>0</v>
      </c>
      <c r="AM51" s="36">
        <f t="shared" si="38"/>
        <v>0</v>
      </c>
      <c r="AN51" s="99" t="str">
        <f t="shared" si="9"/>
        <v/>
      </c>
      <c r="AO51" s="99" t="str">
        <f t="shared" si="10"/>
        <v/>
      </c>
      <c r="AP51" s="99" t="str">
        <f t="shared" si="11"/>
        <v/>
      </c>
      <c r="AQ51" s="99" t="str">
        <f t="shared" si="12"/>
        <v/>
      </c>
      <c r="AR51" s="99" t="str">
        <f t="shared" si="13"/>
        <v/>
      </c>
      <c r="AS51" s="99" t="str">
        <f t="shared" si="14"/>
        <v/>
      </c>
      <c r="AT51" s="99" t="str">
        <f t="shared" si="15"/>
        <v/>
      </c>
      <c r="AU51" s="99" t="str">
        <f t="shared" si="16"/>
        <v/>
      </c>
      <c r="AV51" s="99" t="str">
        <f t="shared" si="17"/>
        <v/>
      </c>
      <c r="AW51" s="99" t="str">
        <f t="shared" si="18"/>
        <v/>
      </c>
      <c r="AX51" s="99" t="str">
        <f t="shared" si="19"/>
        <v/>
      </c>
      <c r="AY51" s="99" t="str">
        <f t="shared" si="20"/>
        <v/>
      </c>
      <c r="AZ51" s="99" t="str">
        <f t="shared" si="21"/>
        <v/>
      </c>
      <c r="BA51" s="98" t="str">
        <f t="shared" si="22"/>
        <v/>
      </c>
    </row>
    <row r="52" spans="1:53" ht="15" customHeight="1" thickBot="1" x14ac:dyDescent="0.4">
      <c r="A52" s="114"/>
      <c r="B52" s="4"/>
      <c r="C52" s="58"/>
      <c r="D52" s="49"/>
      <c r="E52" s="58"/>
      <c r="F52" s="62"/>
      <c r="G52" s="49"/>
      <c r="H52" s="49"/>
      <c r="I52" s="49"/>
      <c r="J52" s="49"/>
      <c r="K52" s="49"/>
      <c r="L52" s="49"/>
      <c r="M52" s="82"/>
      <c r="N52" s="54"/>
      <c r="O52" s="54"/>
      <c r="P52" s="58"/>
      <c r="Q52" s="7"/>
      <c r="R52" s="103">
        <f t="shared" si="5"/>
        <v>0</v>
      </c>
      <c r="S52" s="88"/>
      <c r="T52" s="155"/>
      <c r="U52" s="155"/>
      <c r="V52" s="9"/>
      <c r="W52" s="27" t="str">
        <f t="shared" si="40"/>
        <v/>
      </c>
      <c r="X52" s="29" t="str">
        <f t="shared" si="35"/>
        <v/>
      </c>
      <c r="Y52" s="29" t="str">
        <f t="shared" si="41"/>
        <v/>
      </c>
      <c r="Z52" s="29" t="str">
        <f t="shared" si="41"/>
        <v/>
      </c>
      <c r="AA52" s="29" t="str">
        <f t="shared" si="41"/>
        <v/>
      </c>
      <c r="AB52" s="29" t="str">
        <f t="shared" si="41"/>
        <v/>
      </c>
      <c r="AC52" s="29" t="str">
        <f t="shared" si="41"/>
        <v/>
      </c>
      <c r="AD52" s="29" t="str">
        <f t="shared" si="41"/>
        <v/>
      </c>
      <c r="AE52" s="29" t="str">
        <f t="shared" si="41"/>
        <v/>
      </c>
      <c r="AF52" s="29" t="str">
        <f t="shared" si="41"/>
        <v/>
      </c>
      <c r="AG52" s="29" t="str">
        <f t="shared" si="41"/>
        <v/>
      </c>
      <c r="AH52" s="29" t="str">
        <f t="shared" si="41"/>
        <v/>
      </c>
      <c r="AI52" s="29" t="str">
        <f t="shared" si="41"/>
        <v/>
      </c>
      <c r="AJ52" s="30" t="str">
        <f t="shared" si="8"/>
        <v/>
      </c>
      <c r="AL52" s="36">
        <f t="shared" si="37"/>
        <v>0</v>
      </c>
      <c r="AM52" s="36">
        <f t="shared" si="38"/>
        <v>0</v>
      </c>
      <c r="AN52" s="99" t="str">
        <f t="shared" si="9"/>
        <v/>
      </c>
      <c r="AO52" s="99" t="str">
        <f t="shared" si="10"/>
        <v/>
      </c>
      <c r="AP52" s="99" t="str">
        <f t="shared" si="11"/>
        <v/>
      </c>
      <c r="AQ52" s="99" t="str">
        <f t="shared" si="12"/>
        <v/>
      </c>
      <c r="AR52" s="99" t="str">
        <f t="shared" si="13"/>
        <v/>
      </c>
      <c r="AS52" s="99" t="str">
        <f t="shared" si="14"/>
        <v/>
      </c>
      <c r="AT52" s="99" t="str">
        <f t="shared" si="15"/>
        <v/>
      </c>
      <c r="AU52" s="99" t="str">
        <f t="shared" si="16"/>
        <v/>
      </c>
      <c r="AV52" s="99" t="str">
        <f t="shared" si="17"/>
        <v/>
      </c>
      <c r="AW52" s="99" t="str">
        <f t="shared" si="18"/>
        <v/>
      </c>
      <c r="AX52" s="99" t="str">
        <f t="shared" si="19"/>
        <v/>
      </c>
      <c r="AY52" s="99" t="str">
        <f t="shared" si="20"/>
        <v/>
      </c>
      <c r="AZ52" s="99" t="str">
        <f t="shared" si="21"/>
        <v/>
      </c>
      <c r="BA52" s="98" t="str">
        <f t="shared" si="22"/>
        <v/>
      </c>
    </row>
    <row r="53" spans="1:53" ht="14.5" x14ac:dyDescent="0.35">
      <c r="A53" s="112">
        <v>9</v>
      </c>
      <c r="B53" s="5"/>
      <c r="C53" s="69"/>
      <c r="D53" s="60"/>
      <c r="E53" s="69"/>
      <c r="F53" s="59"/>
      <c r="G53" s="60"/>
      <c r="H53" s="60"/>
      <c r="I53" s="60"/>
      <c r="J53" s="60"/>
      <c r="K53" s="60"/>
      <c r="L53" s="60"/>
      <c r="M53" s="80"/>
      <c r="N53" s="79"/>
      <c r="O53" s="79"/>
      <c r="P53" s="69"/>
      <c r="Q53" s="8"/>
      <c r="R53" s="70">
        <f t="shared" si="5"/>
        <v>0</v>
      </c>
      <c r="S53" s="87"/>
      <c r="T53" s="153"/>
      <c r="U53" s="153"/>
      <c r="V53" s="9"/>
      <c r="W53" s="27" t="str">
        <f t="shared" si="40"/>
        <v/>
      </c>
      <c r="X53" s="29" t="str">
        <f t="shared" si="35"/>
        <v/>
      </c>
      <c r="Y53" s="29" t="str">
        <f t="shared" si="41"/>
        <v/>
      </c>
      <c r="Z53" s="29" t="str">
        <f t="shared" si="41"/>
        <v/>
      </c>
      <c r="AA53" s="29" t="str">
        <f t="shared" si="41"/>
        <v/>
      </c>
      <c r="AB53" s="29" t="str">
        <f t="shared" si="41"/>
        <v/>
      </c>
      <c r="AC53" s="29" t="str">
        <f t="shared" si="41"/>
        <v/>
      </c>
      <c r="AD53" s="29" t="str">
        <f t="shared" si="41"/>
        <v/>
      </c>
      <c r="AE53" s="29" t="str">
        <f t="shared" si="41"/>
        <v/>
      </c>
      <c r="AF53" s="29" t="str">
        <f t="shared" si="41"/>
        <v/>
      </c>
      <c r="AG53" s="29" t="str">
        <f t="shared" si="41"/>
        <v/>
      </c>
      <c r="AH53" s="29" t="str">
        <f t="shared" si="41"/>
        <v/>
      </c>
      <c r="AI53" s="29" t="str">
        <f t="shared" si="41"/>
        <v/>
      </c>
      <c r="AJ53" s="30" t="str">
        <f t="shared" si="8"/>
        <v/>
      </c>
      <c r="AL53" s="36">
        <f t="shared" si="37"/>
        <v>0</v>
      </c>
      <c r="AM53" s="36">
        <f t="shared" si="38"/>
        <v>0</v>
      </c>
      <c r="AN53" s="99" t="str">
        <f t="shared" si="9"/>
        <v/>
      </c>
      <c r="AO53" s="99" t="str">
        <f t="shared" si="10"/>
        <v/>
      </c>
      <c r="AP53" s="99" t="str">
        <f t="shared" si="11"/>
        <v/>
      </c>
      <c r="AQ53" s="99" t="str">
        <f t="shared" si="12"/>
        <v/>
      </c>
      <c r="AR53" s="99" t="str">
        <f t="shared" si="13"/>
        <v/>
      </c>
      <c r="AS53" s="99" t="str">
        <f t="shared" si="14"/>
        <v/>
      </c>
      <c r="AT53" s="99" t="str">
        <f t="shared" si="15"/>
        <v/>
      </c>
      <c r="AU53" s="99" t="str">
        <f t="shared" si="16"/>
        <v/>
      </c>
      <c r="AV53" s="99" t="str">
        <f t="shared" si="17"/>
        <v/>
      </c>
      <c r="AW53" s="99" t="str">
        <f t="shared" si="18"/>
        <v/>
      </c>
      <c r="AX53" s="99" t="str">
        <f t="shared" si="19"/>
        <v/>
      </c>
      <c r="AY53" s="99" t="str">
        <f t="shared" si="20"/>
        <v/>
      </c>
      <c r="AZ53" s="99" t="str">
        <f t="shared" si="21"/>
        <v/>
      </c>
      <c r="BA53" s="98" t="str">
        <f t="shared" si="22"/>
        <v/>
      </c>
    </row>
    <row r="54" spans="1:53" ht="15" customHeight="1" x14ac:dyDescent="0.35">
      <c r="A54" s="113"/>
      <c r="B54" s="3"/>
      <c r="C54" s="50"/>
      <c r="D54" s="48"/>
      <c r="E54" s="50"/>
      <c r="F54" s="61"/>
      <c r="G54" s="48"/>
      <c r="H54" s="48"/>
      <c r="I54" s="48"/>
      <c r="J54" s="48"/>
      <c r="K54" s="48"/>
      <c r="L54" s="48"/>
      <c r="M54" s="81"/>
      <c r="N54" s="53"/>
      <c r="O54" s="53"/>
      <c r="P54" s="50"/>
      <c r="Q54" s="6"/>
      <c r="R54" s="70">
        <f t="shared" si="5"/>
        <v>0</v>
      </c>
      <c r="S54" s="87"/>
      <c r="T54" s="154"/>
      <c r="U54" s="154"/>
      <c r="V54" s="9"/>
      <c r="W54" s="27" t="str">
        <f t="shared" si="40"/>
        <v/>
      </c>
      <c r="X54" s="29" t="str">
        <f t="shared" si="35"/>
        <v/>
      </c>
      <c r="Y54" s="29" t="str">
        <f t="shared" si="41"/>
        <v/>
      </c>
      <c r="Z54" s="29" t="str">
        <f t="shared" si="41"/>
        <v/>
      </c>
      <c r="AA54" s="29" t="str">
        <f t="shared" si="41"/>
        <v/>
      </c>
      <c r="AB54" s="29" t="str">
        <f t="shared" si="41"/>
        <v/>
      </c>
      <c r="AC54" s="29" t="str">
        <f t="shared" si="41"/>
        <v/>
      </c>
      <c r="AD54" s="29" t="str">
        <f t="shared" si="41"/>
        <v/>
      </c>
      <c r="AE54" s="29" t="str">
        <f t="shared" si="41"/>
        <v/>
      </c>
      <c r="AF54" s="29" t="str">
        <f t="shared" si="41"/>
        <v/>
      </c>
      <c r="AG54" s="29" t="str">
        <f t="shared" si="41"/>
        <v/>
      </c>
      <c r="AH54" s="29" t="str">
        <f t="shared" si="41"/>
        <v/>
      </c>
      <c r="AI54" s="29" t="str">
        <f t="shared" si="41"/>
        <v/>
      </c>
      <c r="AJ54" s="30" t="str">
        <f t="shared" si="8"/>
        <v/>
      </c>
      <c r="AL54" s="36">
        <f t="shared" si="37"/>
        <v>0</v>
      </c>
      <c r="AM54" s="36">
        <f t="shared" si="38"/>
        <v>0</v>
      </c>
      <c r="AN54" s="99" t="str">
        <f t="shared" si="9"/>
        <v/>
      </c>
      <c r="AO54" s="99" t="str">
        <f t="shared" si="10"/>
        <v/>
      </c>
      <c r="AP54" s="99" t="str">
        <f t="shared" si="11"/>
        <v/>
      </c>
      <c r="AQ54" s="99" t="str">
        <f t="shared" si="12"/>
        <v/>
      </c>
      <c r="AR54" s="99" t="str">
        <f t="shared" si="13"/>
        <v/>
      </c>
      <c r="AS54" s="99" t="str">
        <f t="shared" si="14"/>
        <v/>
      </c>
      <c r="AT54" s="99" t="str">
        <f t="shared" si="15"/>
        <v/>
      </c>
      <c r="AU54" s="99" t="str">
        <f t="shared" si="16"/>
        <v/>
      </c>
      <c r="AV54" s="99" t="str">
        <f t="shared" si="17"/>
        <v/>
      </c>
      <c r="AW54" s="99" t="str">
        <f t="shared" si="18"/>
        <v/>
      </c>
      <c r="AX54" s="99" t="str">
        <f t="shared" si="19"/>
        <v/>
      </c>
      <c r="AY54" s="99" t="str">
        <f t="shared" si="20"/>
        <v/>
      </c>
      <c r="AZ54" s="99" t="str">
        <f t="shared" si="21"/>
        <v/>
      </c>
      <c r="BA54" s="98" t="str">
        <f t="shared" si="22"/>
        <v/>
      </c>
    </row>
    <row r="55" spans="1:53" ht="15" customHeight="1" x14ac:dyDescent="0.35">
      <c r="A55" s="113"/>
      <c r="B55" s="3"/>
      <c r="C55" s="50"/>
      <c r="D55" s="48"/>
      <c r="E55" s="50"/>
      <c r="F55" s="61"/>
      <c r="G55" s="48"/>
      <c r="H55" s="48"/>
      <c r="I55" s="48"/>
      <c r="J55" s="48"/>
      <c r="K55" s="48"/>
      <c r="L55" s="48"/>
      <c r="M55" s="81"/>
      <c r="N55" s="53"/>
      <c r="O55" s="53"/>
      <c r="P55" s="50"/>
      <c r="Q55" s="6"/>
      <c r="R55" s="70">
        <f t="shared" si="5"/>
        <v>0</v>
      </c>
      <c r="S55" s="87"/>
      <c r="T55" s="154"/>
      <c r="U55" s="154"/>
      <c r="V55" s="9"/>
      <c r="W55" s="27" t="str">
        <f t="shared" si="40"/>
        <v/>
      </c>
      <c r="X55" s="29" t="str">
        <f t="shared" si="35"/>
        <v/>
      </c>
      <c r="Y55" s="29" t="str">
        <f t="shared" si="41"/>
        <v/>
      </c>
      <c r="Z55" s="29" t="str">
        <f t="shared" si="41"/>
        <v/>
      </c>
      <c r="AA55" s="29" t="str">
        <f t="shared" si="41"/>
        <v/>
      </c>
      <c r="AB55" s="29" t="str">
        <f t="shared" si="41"/>
        <v/>
      </c>
      <c r="AC55" s="29" t="str">
        <f t="shared" si="41"/>
        <v/>
      </c>
      <c r="AD55" s="29" t="str">
        <f t="shared" si="41"/>
        <v/>
      </c>
      <c r="AE55" s="29" t="str">
        <f t="shared" si="41"/>
        <v/>
      </c>
      <c r="AF55" s="29" t="str">
        <f t="shared" si="41"/>
        <v/>
      </c>
      <c r="AG55" s="29" t="str">
        <f t="shared" si="41"/>
        <v/>
      </c>
      <c r="AH55" s="29" t="str">
        <f t="shared" si="41"/>
        <v/>
      </c>
      <c r="AI55" s="29" t="str">
        <f t="shared" si="41"/>
        <v/>
      </c>
      <c r="AJ55" s="30" t="str">
        <f t="shared" si="8"/>
        <v/>
      </c>
      <c r="AL55" s="36">
        <f t="shared" si="37"/>
        <v>0</v>
      </c>
      <c r="AM55" s="36">
        <f t="shared" si="38"/>
        <v>0</v>
      </c>
      <c r="AN55" s="99" t="str">
        <f t="shared" si="9"/>
        <v/>
      </c>
      <c r="AO55" s="99" t="str">
        <f t="shared" si="10"/>
        <v/>
      </c>
      <c r="AP55" s="99" t="str">
        <f t="shared" si="11"/>
        <v/>
      </c>
      <c r="AQ55" s="99" t="str">
        <f t="shared" si="12"/>
        <v/>
      </c>
      <c r="AR55" s="99" t="str">
        <f t="shared" si="13"/>
        <v/>
      </c>
      <c r="AS55" s="99" t="str">
        <f t="shared" si="14"/>
        <v/>
      </c>
      <c r="AT55" s="99" t="str">
        <f t="shared" si="15"/>
        <v/>
      </c>
      <c r="AU55" s="99" t="str">
        <f t="shared" si="16"/>
        <v/>
      </c>
      <c r="AV55" s="99" t="str">
        <f t="shared" si="17"/>
        <v/>
      </c>
      <c r="AW55" s="99" t="str">
        <f t="shared" si="18"/>
        <v/>
      </c>
      <c r="AX55" s="99" t="str">
        <f t="shared" si="19"/>
        <v/>
      </c>
      <c r="AY55" s="99" t="str">
        <f t="shared" si="20"/>
        <v/>
      </c>
      <c r="AZ55" s="99" t="str">
        <f t="shared" si="21"/>
        <v/>
      </c>
      <c r="BA55" s="98" t="str">
        <f t="shared" si="22"/>
        <v/>
      </c>
    </row>
    <row r="56" spans="1:53" ht="15" customHeight="1" x14ac:dyDescent="0.35">
      <c r="A56" s="113"/>
      <c r="B56" s="3"/>
      <c r="C56" s="50"/>
      <c r="D56" s="48"/>
      <c r="E56" s="50"/>
      <c r="F56" s="61"/>
      <c r="G56" s="48"/>
      <c r="H56" s="48"/>
      <c r="I56" s="48"/>
      <c r="J56" s="48"/>
      <c r="K56" s="48"/>
      <c r="L56" s="48"/>
      <c r="M56" s="81"/>
      <c r="N56" s="53"/>
      <c r="O56" s="53"/>
      <c r="P56" s="50"/>
      <c r="Q56" s="6"/>
      <c r="R56" s="70">
        <f t="shared" si="5"/>
        <v>0</v>
      </c>
      <c r="S56" s="87"/>
      <c r="T56" s="154"/>
      <c r="U56" s="154"/>
      <c r="V56" s="9"/>
      <c r="W56" s="27" t="str">
        <f t="shared" si="40"/>
        <v/>
      </c>
      <c r="X56" s="29" t="str">
        <f t="shared" si="35"/>
        <v/>
      </c>
      <c r="Y56" s="29" t="str">
        <f t="shared" si="41"/>
        <v/>
      </c>
      <c r="Z56" s="29" t="str">
        <f t="shared" si="41"/>
        <v/>
      </c>
      <c r="AA56" s="29" t="str">
        <f t="shared" si="41"/>
        <v/>
      </c>
      <c r="AB56" s="29" t="str">
        <f t="shared" si="41"/>
        <v/>
      </c>
      <c r="AC56" s="29" t="str">
        <f t="shared" si="41"/>
        <v/>
      </c>
      <c r="AD56" s="29" t="str">
        <f t="shared" si="41"/>
        <v/>
      </c>
      <c r="AE56" s="29" t="str">
        <f t="shared" si="41"/>
        <v/>
      </c>
      <c r="AF56" s="29" t="str">
        <f t="shared" si="41"/>
        <v/>
      </c>
      <c r="AG56" s="29" t="str">
        <f t="shared" si="41"/>
        <v/>
      </c>
      <c r="AH56" s="29" t="str">
        <f t="shared" si="41"/>
        <v/>
      </c>
      <c r="AI56" s="29" t="str">
        <f t="shared" si="41"/>
        <v/>
      </c>
      <c r="AJ56" s="30" t="str">
        <f t="shared" si="8"/>
        <v/>
      </c>
      <c r="AL56" s="36">
        <f t="shared" si="37"/>
        <v>0</v>
      </c>
      <c r="AM56" s="36">
        <f t="shared" si="38"/>
        <v>0</v>
      </c>
      <c r="AN56" s="99" t="str">
        <f t="shared" si="9"/>
        <v/>
      </c>
      <c r="AO56" s="99" t="str">
        <f t="shared" si="10"/>
        <v/>
      </c>
      <c r="AP56" s="99" t="str">
        <f t="shared" si="11"/>
        <v/>
      </c>
      <c r="AQ56" s="99" t="str">
        <f t="shared" si="12"/>
        <v/>
      </c>
      <c r="AR56" s="99" t="str">
        <f t="shared" si="13"/>
        <v/>
      </c>
      <c r="AS56" s="99" t="str">
        <f t="shared" si="14"/>
        <v/>
      </c>
      <c r="AT56" s="99" t="str">
        <f t="shared" si="15"/>
        <v/>
      </c>
      <c r="AU56" s="99" t="str">
        <f t="shared" si="16"/>
        <v/>
      </c>
      <c r="AV56" s="99" t="str">
        <f t="shared" si="17"/>
        <v/>
      </c>
      <c r="AW56" s="99" t="str">
        <f t="shared" si="18"/>
        <v/>
      </c>
      <c r="AX56" s="99" t="str">
        <f t="shared" si="19"/>
        <v/>
      </c>
      <c r="AY56" s="99" t="str">
        <f t="shared" si="20"/>
        <v/>
      </c>
      <c r="AZ56" s="99" t="str">
        <f t="shared" si="21"/>
        <v/>
      </c>
      <c r="BA56" s="98" t="str">
        <f t="shared" si="22"/>
        <v/>
      </c>
    </row>
    <row r="57" spans="1:53" ht="15" customHeight="1" x14ac:dyDescent="0.35">
      <c r="A57" s="113"/>
      <c r="B57" s="3"/>
      <c r="C57" s="50"/>
      <c r="D57" s="48"/>
      <c r="E57" s="50"/>
      <c r="F57" s="61"/>
      <c r="G57" s="48"/>
      <c r="H57" s="48"/>
      <c r="I57" s="48"/>
      <c r="J57" s="48"/>
      <c r="K57" s="48"/>
      <c r="L57" s="48"/>
      <c r="M57" s="81"/>
      <c r="N57" s="53"/>
      <c r="O57" s="53"/>
      <c r="P57" s="50"/>
      <c r="Q57" s="6"/>
      <c r="R57" s="70">
        <f t="shared" si="5"/>
        <v>0</v>
      </c>
      <c r="S57" s="87"/>
      <c r="T57" s="154"/>
      <c r="U57" s="154"/>
      <c r="V57" s="9"/>
      <c r="W57" s="27" t="str">
        <f t="shared" si="40"/>
        <v/>
      </c>
      <c r="X57" s="29" t="str">
        <f t="shared" si="35"/>
        <v/>
      </c>
      <c r="Y57" s="29" t="str">
        <f t="shared" si="41"/>
        <v/>
      </c>
      <c r="Z57" s="29" t="str">
        <f t="shared" si="41"/>
        <v/>
      </c>
      <c r="AA57" s="29" t="str">
        <f t="shared" si="41"/>
        <v/>
      </c>
      <c r="AB57" s="29" t="str">
        <f t="shared" si="41"/>
        <v/>
      </c>
      <c r="AC57" s="29" t="str">
        <f t="shared" si="41"/>
        <v/>
      </c>
      <c r="AD57" s="29" t="str">
        <f t="shared" si="41"/>
        <v/>
      </c>
      <c r="AE57" s="29" t="str">
        <f t="shared" si="41"/>
        <v/>
      </c>
      <c r="AF57" s="29" t="str">
        <f t="shared" si="41"/>
        <v/>
      </c>
      <c r="AG57" s="29" t="str">
        <f t="shared" si="41"/>
        <v/>
      </c>
      <c r="AH57" s="29" t="str">
        <f t="shared" si="41"/>
        <v/>
      </c>
      <c r="AI57" s="29" t="str">
        <f t="shared" si="41"/>
        <v/>
      </c>
      <c r="AJ57" s="30" t="str">
        <f t="shared" si="8"/>
        <v/>
      </c>
      <c r="AL57" s="36">
        <f t="shared" si="37"/>
        <v>0</v>
      </c>
      <c r="AM57" s="36">
        <f t="shared" si="38"/>
        <v>0</v>
      </c>
      <c r="AN57" s="99" t="str">
        <f t="shared" si="9"/>
        <v/>
      </c>
      <c r="AO57" s="99" t="str">
        <f t="shared" si="10"/>
        <v/>
      </c>
      <c r="AP57" s="99" t="str">
        <f t="shared" si="11"/>
        <v/>
      </c>
      <c r="AQ57" s="99" t="str">
        <f t="shared" si="12"/>
        <v/>
      </c>
      <c r="AR57" s="99" t="str">
        <f t="shared" si="13"/>
        <v/>
      </c>
      <c r="AS57" s="99" t="str">
        <f t="shared" si="14"/>
        <v/>
      </c>
      <c r="AT57" s="99" t="str">
        <f t="shared" si="15"/>
        <v/>
      </c>
      <c r="AU57" s="99" t="str">
        <f t="shared" si="16"/>
        <v/>
      </c>
      <c r="AV57" s="99" t="str">
        <f t="shared" si="17"/>
        <v/>
      </c>
      <c r="AW57" s="99" t="str">
        <f t="shared" si="18"/>
        <v/>
      </c>
      <c r="AX57" s="99" t="str">
        <f t="shared" si="19"/>
        <v/>
      </c>
      <c r="AY57" s="99" t="str">
        <f t="shared" si="20"/>
        <v/>
      </c>
      <c r="AZ57" s="99" t="str">
        <f t="shared" si="21"/>
        <v/>
      </c>
      <c r="BA57" s="98" t="str">
        <f t="shared" si="22"/>
        <v/>
      </c>
    </row>
    <row r="58" spans="1:53" ht="15" customHeight="1" thickBot="1" x14ac:dyDescent="0.4">
      <c r="A58" s="114"/>
      <c r="B58" s="4"/>
      <c r="C58" s="58"/>
      <c r="D58" s="49"/>
      <c r="E58" s="58"/>
      <c r="F58" s="62"/>
      <c r="G58" s="49"/>
      <c r="H58" s="49"/>
      <c r="I58" s="49"/>
      <c r="J58" s="49"/>
      <c r="K58" s="49"/>
      <c r="L58" s="49"/>
      <c r="M58" s="82"/>
      <c r="N58" s="54"/>
      <c r="O58" s="54"/>
      <c r="P58" s="58"/>
      <c r="Q58" s="7"/>
      <c r="R58" s="101">
        <f t="shared" si="5"/>
        <v>0</v>
      </c>
      <c r="S58" s="88"/>
      <c r="T58" s="155"/>
      <c r="U58" s="155"/>
      <c r="V58" s="9"/>
      <c r="W58" s="27" t="str">
        <f t="shared" si="40"/>
        <v/>
      </c>
      <c r="X58" s="29" t="str">
        <f t="shared" ref="X58:X89" si="42">IF(AND(X$3&lt;&gt;"",$W58&lt;&gt;""),ROUND(2*($R58*(COUNT($X$3:$AI$3)+1)-$W58)*X$3,0)/2,"")</f>
        <v/>
      </c>
      <c r="Y58" s="29" t="str">
        <f t="shared" si="41"/>
        <v/>
      </c>
      <c r="Z58" s="29" t="str">
        <f t="shared" si="41"/>
        <v/>
      </c>
      <c r="AA58" s="29" t="str">
        <f t="shared" si="41"/>
        <v/>
      </c>
      <c r="AB58" s="29" t="str">
        <f t="shared" si="41"/>
        <v/>
      </c>
      <c r="AC58" s="29" t="str">
        <f t="shared" si="41"/>
        <v/>
      </c>
      <c r="AD58" s="29" t="str">
        <f t="shared" si="41"/>
        <v/>
      </c>
      <c r="AE58" s="29" t="str">
        <f t="shared" si="41"/>
        <v/>
      </c>
      <c r="AF58" s="29" t="str">
        <f t="shared" si="41"/>
        <v/>
      </c>
      <c r="AG58" s="29" t="str">
        <f t="shared" si="41"/>
        <v/>
      </c>
      <c r="AH58" s="29" t="str">
        <f t="shared" si="41"/>
        <v/>
      </c>
      <c r="AI58" s="29" t="str">
        <f t="shared" si="41"/>
        <v/>
      </c>
      <c r="AJ58" s="30" t="str">
        <f t="shared" si="8"/>
        <v/>
      </c>
      <c r="AL58" s="36">
        <f t="shared" si="37"/>
        <v>0</v>
      </c>
      <c r="AM58" s="36">
        <f t="shared" si="38"/>
        <v>0</v>
      </c>
      <c r="AN58" s="99" t="str">
        <f t="shared" si="9"/>
        <v/>
      </c>
      <c r="AO58" s="99" t="str">
        <f t="shared" si="10"/>
        <v/>
      </c>
      <c r="AP58" s="99" t="str">
        <f t="shared" si="11"/>
        <v/>
      </c>
      <c r="AQ58" s="99" t="str">
        <f t="shared" si="12"/>
        <v/>
      </c>
      <c r="AR58" s="99" t="str">
        <f t="shared" si="13"/>
        <v/>
      </c>
      <c r="AS58" s="99" t="str">
        <f t="shared" si="14"/>
        <v/>
      </c>
      <c r="AT58" s="99" t="str">
        <f t="shared" si="15"/>
        <v/>
      </c>
      <c r="AU58" s="99" t="str">
        <f t="shared" si="16"/>
        <v/>
      </c>
      <c r="AV58" s="99" t="str">
        <f t="shared" si="17"/>
        <v/>
      </c>
      <c r="AW58" s="99" t="str">
        <f t="shared" si="18"/>
        <v/>
      </c>
      <c r="AX58" s="99" t="str">
        <f t="shared" si="19"/>
        <v/>
      </c>
      <c r="AY58" s="99" t="str">
        <f t="shared" si="20"/>
        <v/>
      </c>
      <c r="AZ58" s="99" t="str">
        <f t="shared" si="21"/>
        <v/>
      </c>
      <c r="BA58" s="98" t="str">
        <f t="shared" si="22"/>
        <v/>
      </c>
    </row>
    <row r="59" spans="1:53" ht="14.5" x14ac:dyDescent="0.35">
      <c r="A59" s="112">
        <v>10</v>
      </c>
      <c r="B59" s="5"/>
      <c r="C59" s="69"/>
      <c r="D59" s="60"/>
      <c r="E59" s="69"/>
      <c r="F59" s="59"/>
      <c r="G59" s="60"/>
      <c r="H59" s="60"/>
      <c r="I59" s="60"/>
      <c r="J59" s="60"/>
      <c r="K59" s="60"/>
      <c r="L59" s="60"/>
      <c r="M59" s="80"/>
      <c r="N59" s="79"/>
      <c r="O59" s="79"/>
      <c r="P59" s="69"/>
      <c r="Q59" s="8"/>
      <c r="R59" s="102">
        <f t="shared" si="5"/>
        <v>0</v>
      </c>
      <c r="S59" s="87"/>
      <c r="T59" s="153"/>
      <c r="U59" s="158"/>
      <c r="V59" s="9"/>
      <c r="W59" s="27" t="str">
        <f t="shared" si="40"/>
        <v/>
      </c>
      <c r="X59" s="29" t="str">
        <f t="shared" si="42"/>
        <v/>
      </c>
      <c r="Y59" s="29" t="str">
        <f t="shared" ref="Y59:AI68" si="43">IF(AND(Y$3&lt;&gt;"",$W59&lt;&gt;""),ROUND(2*($R59*(COUNT($X$3:$AI$3)+1)-$W59)*Y$3,0)/2,"")</f>
        <v/>
      </c>
      <c r="Z59" s="29" t="str">
        <f t="shared" si="43"/>
        <v/>
      </c>
      <c r="AA59" s="29" t="str">
        <f t="shared" si="43"/>
        <v/>
      </c>
      <c r="AB59" s="29" t="str">
        <f t="shared" si="43"/>
        <v/>
      </c>
      <c r="AC59" s="29" t="str">
        <f t="shared" si="43"/>
        <v/>
      </c>
      <c r="AD59" s="29" t="str">
        <f t="shared" si="43"/>
        <v/>
      </c>
      <c r="AE59" s="29" t="str">
        <f t="shared" si="43"/>
        <v/>
      </c>
      <c r="AF59" s="29" t="str">
        <f t="shared" si="43"/>
        <v/>
      </c>
      <c r="AG59" s="29" t="str">
        <f t="shared" si="43"/>
        <v/>
      </c>
      <c r="AH59" s="29" t="str">
        <f t="shared" si="43"/>
        <v/>
      </c>
      <c r="AI59" s="29" t="str">
        <f t="shared" si="43"/>
        <v/>
      </c>
      <c r="AJ59" s="30" t="str">
        <f t="shared" si="8"/>
        <v/>
      </c>
      <c r="AL59" s="36">
        <f t="shared" si="37"/>
        <v>0</v>
      </c>
      <c r="AM59" s="36">
        <f t="shared" si="38"/>
        <v>0</v>
      </c>
      <c r="AN59" s="99" t="str">
        <f t="shared" si="9"/>
        <v/>
      </c>
      <c r="AO59" s="99" t="str">
        <f t="shared" si="10"/>
        <v/>
      </c>
      <c r="AP59" s="99" t="str">
        <f t="shared" si="11"/>
        <v/>
      </c>
      <c r="AQ59" s="99" t="str">
        <f t="shared" si="12"/>
        <v/>
      </c>
      <c r="AR59" s="99" t="str">
        <f t="shared" si="13"/>
        <v/>
      </c>
      <c r="AS59" s="99" t="str">
        <f t="shared" si="14"/>
        <v/>
      </c>
      <c r="AT59" s="99" t="str">
        <f t="shared" si="15"/>
        <v/>
      </c>
      <c r="AU59" s="99" t="str">
        <f t="shared" si="16"/>
        <v/>
      </c>
      <c r="AV59" s="99" t="str">
        <f t="shared" si="17"/>
        <v/>
      </c>
      <c r="AW59" s="99" t="str">
        <f t="shared" si="18"/>
        <v/>
      </c>
      <c r="AX59" s="99" t="str">
        <f t="shared" si="19"/>
        <v/>
      </c>
      <c r="AY59" s="99" t="str">
        <f t="shared" si="20"/>
        <v/>
      </c>
      <c r="AZ59" s="99" t="str">
        <f t="shared" si="21"/>
        <v/>
      </c>
      <c r="BA59" s="98" t="str">
        <f t="shared" si="22"/>
        <v/>
      </c>
    </row>
    <row r="60" spans="1:53" ht="15" customHeight="1" x14ac:dyDescent="0.35">
      <c r="A60" s="113"/>
      <c r="B60" s="3"/>
      <c r="C60" s="50"/>
      <c r="D60" s="48"/>
      <c r="E60" s="50"/>
      <c r="F60" s="61"/>
      <c r="G60" s="48"/>
      <c r="H60" s="48"/>
      <c r="I60" s="48"/>
      <c r="J60" s="48"/>
      <c r="K60" s="48"/>
      <c r="L60" s="48"/>
      <c r="M60" s="81"/>
      <c r="N60" s="53"/>
      <c r="O60" s="53"/>
      <c r="P60" s="50"/>
      <c r="Q60" s="6"/>
      <c r="R60" s="70">
        <f t="shared" si="5"/>
        <v>0</v>
      </c>
      <c r="S60" s="87"/>
      <c r="T60" s="154"/>
      <c r="U60" s="154"/>
      <c r="V60" s="9"/>
      <c r="W60" s="27" t="str">
        <f t="shared" si="40"/>
        <v/>
      </c>
      <c r="X60" s="29" t="str">
        <f t="shared" si="42"/>
        <v/>
      </c>
      <c r="Y60" s="29" t="str">
        <f t="shared" si="43"/>
        <v/>
      </c>
      <c r="Z60" s="29" t="str">
        <f t="shared" si="43"/>
        <v/>
      </c>
      <c r="AA60" s="29" t="str">
        <f t="shared" si="43"/>
        <v/>
      </c>
      <c r="AB60" s="29" t="str">
        <f t="shared" si="43"/>
        <v/>
      </c>
      <c r="AC60" s="29" t="str">
        <f t="shared" si="43"/>
        <v/>
      </c>
      <c r="AD60" s="29" t="str">
        <f t="shared" si="43"/>
        <v/>
      </c>
      <c r="AE60" s="29" t="str">
        <f t="shared" si="43"/>
        <v/>
      </c>
      <c r="AF60" s="29" t="str">
        <f t="shared" si="43"/>
        <v/>
      </c>
      <c r="AG60" s="29" t="str">
        <f t="shared" si="43"/>
        <v/>
      </c>
      <c r="AH60" s="29" t="str">
        <f t="shared" si="43"/>
        <v/>
      </c>
      <c r="AI60" s="29" t="str">
        <f t="shared" si="43"/>
        <v/>
      </c>
      <c r="AJ60" s="30" t="str">
        <f t="shared" si="8"/>
        <v/>
      </c>
      <c r="AL60" s="36">
        <f t="shared" si="37"/>
        <v>0</v>
      </c>
      <c r="AM60" s="36">
        <f t="shared" si="38"/>
        <v>0</v>
      </c>
      <c r="AN60" s="99" t="str">
        <f t="shared" si="9"/>
        <v/>
      </c>
      <c r="AO60" s="99" t="str">
        <f t="shared" si="10"/>
        <v/>
      </c>
      <c r="AP60" s="99" t="str">
        <f t="shared" si="11"/>
        <v/>
      </c>
      <c r="AQ60" s="99" t="str">
        <f t="shared" si="12"/>
        <v/>
      </c>
      <c r="AR60" s="99" t="str">
        <f t="shared" si="13"/>
        <v/>
      </c>
      <c r="AS60" s="99" t="str">
        <f t="shared" si="14"/>
        <v/>
      </c>
      <c r="AT60" s="99" t="str">
        <f t="shared" si="15"/>
        <v/>
      </c>
      <c r="AU60" s="99" t="str">
        <f t="shared" si="16"/>
        <v/>
      </c>
      <c r="AV60" s="99" t="str">
        <f t="shared" si="17"/>
        <v/>
      </c>
      <c r="AW60" s="99" t="str">
        <f t="shared" si="18"/>
        <v/>
      </c>
      <c r="AX60" s="99" t="str">
        <f t="shared" si="19"/>
        <v/>
      </c>
      <c r="AY60" s="99" t="str">
        <f t="shared" si="20"/>
        <v/>
      </c>
      <c r="AZ60" s="99" t="str">
        <f t="shared" si="21"/>
        <v/>
      </c>
      <c r="BA60" s="98" t="str">
        <f t="shared" si="22"/>
        <v/>
      </c>
    </row>
    <row r="61" spans="1:53" ht="15" customHeight="1" x14ac:dyDescent="0.35">
      <c r="A61" s="113"/>
      <c r="B61" s="3"/>
      <c r="C61" s="50"/>
      <c r="D61" s="48"/>
      <c r="E61" s="50"/>
      <c r="F61" s="61"/>
      <c r="G61" s="48"/>
      <c r="H61" s="48"/>
      <c r="I61" s="48"/>
      <c r="J61" s="48"/>
      <c r="K61" s="48"/>
      <c r="L61" s="48"/>
      <c r="M61" s="81"/>
      <c r="N61" s="53"/>
      <c r="O61" s="53"/>
      <c r="P61" s="50"/>
      <c r="Q61" s="6"/>
      <c r="R61" s="70">
        <f t="shared" si="5"/>
        <v>0</v>
      </c>
      <c r="S61" s="87"/>
      <c r="T61" s="154"/>
      <c r="U61" s="154"/>
      <c r="V61" s="9"/>
      <c r="W61" s="27" t="str">
        <f t="shared" si="40"/>
        <v/>
      </c>
      <c r="X61" s="29" t="str">
        <f t="shared" si="42"/>
        <v/>
      </c>
      <c r="Y61" s="29" t="str">
        <f t="shared" si="43"/>
        <v/>
      </c>
      <c r="Z61" s="29" t="str">
        <f t="shared" si="43"/>
        <v/>
      </c>
      <c r="AA61" s="29" t="str">
        <f t="shared" si="43"/>
        <v/>
      </c>
      <c r="AB61" s="29" t="str">
        <f t="shared" si="43"/>
        <v/>
      </c>
      <c r="AC61" s="29" t="str">
        <f t="shared" si="43"/>
        <v/>
      </c>
      <c r="AD61" s="29" t="str">
        <f t="shared" si="43"/>
        <v/>
      </c>
      <c r="AE61" s="29" t="str">
        <f t="shared" si="43"/>
        <v/>
      </c>
      <c r="AF61" s="29" t="str">
        <f t="shared" si="43"/>
        <v/>
      </c>
      <c r="AG61" s="29" t="str">
        <f t="shared" si="43"/>
        <v/>
      </c>
      <c r="AH61" s="29" t="str">
        <f t="shared" si="43"/>
        <v/>
      </c>
      <c r="AI61" s="29" t="str">
        <f t="shared" si="43"/>
        <v/>
      </c>
      <c r="AJ61" s="30" t="str">
        <f t="shared" si="8"/>
        <v/>
      </c>
      <c r="AL61" s="36">
        <f t="shared" si="37"/>
        <v>0</v>
      </c>
      <c r="AM61" s="36">
        <f t="shared" si="38"/>
        <v>0</v>
      </c>
      <c r="AN61" s="99" t="str">
        <f t="shared" si="9"/>
        <v/>
      </c>
      <c r="AO61" s="99" t="str">
        <f t="shared" si="10"/>
        <v/>
      </c>
      <c r="AP61" s="99" t="str">
        <f t="shared" si="11"/>
        <v/>
      </c>
      <c r="AQ61" s="99" t="str">
        <f t="shared" si="12"/>
        <v/>
      </c>
      <c r="AR61" s="99" t="str">
        <f t="shared" si="13"/>
        <v/>
      </c>
      <c r="AS61" s="99" t="str">
        <f t="shared" si="14"/>
        <v/>
      </c>
      <c r="AT61" s="99" t="str">
        <f t="shared" si="15"/>
        <v/>
      </c>
      <c r="AU61" s="99" t="str">
        <f t="shared" si="16"/>
        <v/>
      </c>
      <c r="AV61" s="99" t="str">
        <f t="shared" si="17"/>
        <v/>
      </c>
      <c r="AW61" s="99" t="str">
        <f t="shared" si="18"/>
        <v/>
      </c>
      <c r="AX61" s="99" t="str">
        <f t="shared" si="19"/>
        <v/>
      </c>
      <c r="AY61" s="99" t="str">
        <f t="shared" si="20"/>
        <v/>
      </c>
      <c r="AZ61" s="99" t="str">
        <f t="shared" si="21"/>
        <v/>
      </c>
      <c r="BA61" s="98" t="str">
        <f t="shared" si="22"/>
        <v/>
      </c>
    </row>
    <row r="62" spans="1:53" ht="15" customHeight="1" x14ac:dyDescent="0.35">
      <c r="A62" s="113"/>
      <c r="B62" s="3"/>
      <c r="C62" s="50"/>
      <c r="D62" s="48"/>
      <c r="E62" s="50"/>
      <c r="F62" s="61"/>
      <c r="G62" s="48"/>
      <c r="H62" s="48"/>
      <c r="I62" s="48"/>
      <c r="J62" s="48"/>
      <c r="K62" s="48"/>
      <c r="L62" s="48"/>
      <c r="M62" s="81"/>
      <c r="N62" s="53"/>
      <c r="O62" s="53"/>
      <c r="P62" s="50"/>
      <c r="Q62" s="6"/>
      <c r="R62" s="70">
        <f t="shared" si="5"/>
        <v>0</v>
      </c>
      <c r="S62" s="87"/>
      <c r="T62" s="154"/>
      <c r="U62" s="154"/>
      <c r="V62" s="9"/>
      <c r="W62" s="27" t="str">
        <f t="shared" si="40"/>
        <v/>
      </c>
      <c r="X62" s="29" t="str">
        <f t="shared" si="42"/>
        <v/>
      </c>
      <c r="Y62" s="29" t="str">
        <f t="shared" si="43"/>
        <v/>
      </c>
      <c r="Z62" s="29" t="str">
        <f t="shared" si="43"/>
        <v/>
      </c>
      <c r="AA62" s="29" t="str">
        <f t="shared" si="43"/>
        <v/>
      </c>
      <c r="AB62" s="29" t="str">
        <f t="shared" si="43"/>
        <v/>
      </c>
      <c r="AC62" s="29" t="str">
        <f t="shared" si="43"/>
        <v/>
      </c>
      <c r="AD62" s="29" t="str">
        <f t="shared" si="43"/>
        <v/>
      </c>
      <c r="AE62" s="29" t="str">
        <f t="shared" si="43"/>
        <v/>
      </c>
      <c r="AF62" s="29" t="str">
        <f t="shared" si="43"/>
        <v/>
      </c>
      <c r="AG62" s="29" t="str">
        <f t="shared" si="43"/>
        <v/>
      </c>
      <c r="AH62" s="29" t="str">
        <f t="shared" si="43"/>
        <v/>
      </c>
      <c r="AI62" s="29" t="str">
        <f t="shared" si="43"/>
        <v/>
      </c>
      <c r="AJ62" s="30" t="str">
        <f t="shared" si="8"/>
        <v/>
      </c>
      <c r="AL62" s="36">
        <f t="shared" si="37"/>
        <v>0</v>
      </c>
      <c r="AM62" s="36">
        <f t="shared" si="38"/>
        <v>0</v>
      </c>
      <c r="AN62" s="99" t="str">
        <f t="shared" si="9"/>
        <v/>
      </c>
      <c r="AO62" s="99" t="str">
        <f t="shared" si="10"/>
        <v/>
      </c>
      <c r="AP62" s="99" t="str">
        <f t="shared" si="11"/>
        <v/>
      </c>
      <c r="AQ62" s="99" t="str">
        <f t="shared" si="12"/>
        <v/>
      </c>
      <c r="AR62" s="99" t="str">
        <f t="shared" si="13"/>
        <v/>
      </c>
      <c r="AS62" s="99" t="str">
        <f t="shared" si="14"/>
        <v/>
      </c>
      <c r="AT62" s="99" t="str">
        <f t="shared" si="15"/>
        <v/>
      </c>
      <c r="AU62" s="99" t="str">
        <f t="shared" si="16"/>
        <v/>
      </c>
      <c r="AV62" s="99" t="str">
        <f t="shared" si="17"/>
        <v/>
      </c>
      <c r="AW62" s="99" t="str">
        <f t="shared" si="18"/>
        <v/>
      </c>
      <c r="AX62" s="99" t="str">
        <f t="shared" si="19"/>
        <v/>
      </c>
      <c r="AY62" s="99" t="str">
        <f t="shared" si="20"/>
        <v/>
      </c>
      <c r="AZ62" s="99" t="str">
        <f t="shared" si="21"/>
        <v/>
      </c>
      <c r="BA62" s="98" t="str">
        <f t="shared" si="22"/>
        <v/>
      </c>
    </row>
    <row r="63" spans="1:53" ht="15" customHeight="1" x14ac:dyDescent="0.35">
      <c r="A63" s="113"/>
      <c r="B63" s="3"/>
      <c r="C63" s="50"/>
      <c r="D63" s="48"/>
      <c r="E63" s="50"/>
      <c r="F63" s="61"/>
      <c r="G63" s="48"/>
      <c r="H63" s="48"/>
      <c r="I63" s="48"/>
      <c r="J63" s="48"/>
      <c r="K63" s="48"/>
      <c r="L63" s="48"/>
      <c r="M63" s="81"/>
      <c r="N63" s="53"/>
      <c r="O63" s="53"/>
      <c r="P63" s="50"/>
      <c r="Q63" s="6"/>
      <c r="R63" s="70">
        <f t="shared" si="5"/>
        <v>0</v>
      </c>
      <c r="S63" s="87"/>
      <c r="T63" s="154"/>
      <c r="U63" s="154"/>
      <c r="V63" s="9"/>
      <c r="W63" s="27" t="str">
        <f t="shared" si="40"/>
        <v/>
      </c>
      <c r="X63" s="29" t="str">
        <f t="shared" si="42"/>
        <v/>
      </c>
      <c r="Y63" s="29" t="str">
        <f t="shared" si="43"/>
        <v/>
      </c>
      <c r="Z63" s="29" t="str">
        <f t="shared" si="43"/>
        <v/>
      </c>
      <c r="AA63" s="29" t="str">
        <f t="shared" si="43"/>
        <v/>
      </c>
      <c r="AB63" s="29" t="str">
        <f t="shared" si="43"/>
        <v/>
      </c>
      <c r="AC63" s="29" t="str">
        <f t="shared" si="43"/>
        <v/>
      </c>
      <c r="AD63" s="29" t="str">
        <f t="shared" si="43"/>
        <v/>
      </c>
      <c r="AE63" s="29" t="str">
        <f t="shared" si="43"/>
        <v/>
      </c>
      <c r="AF63" s="29" t="str">
        <f t="shared" si="43"/>
        <v/>
      </c>
      <c r="AG63" s="29" t="str">
        <f t="shared" si="43"/>
        <v/>
      </c>
      <c r="AH63" s="29" t="str">
        <f t="shared" si="43"/>
        <v/>
      </c>
      <c r="AI63" s="29" t="str">
        <f t="shared" si="43"/>
        <v/>
      </c>
      <c r="AJ63" s="30" t="str">
        <f t="shared" si="8"/>
        <v/>
      </c>
      <c r="AL63" s="36">
        <f t="shared" si="37"/>
        <v>0</v>
      </c>
      <c r="AM63" s="36">
        <f t="shared" si="38"/>
        <v>0</v>
      </c>
      <c r="AN63" s="99" t="str">
        <f t="shared" si="9"/>
        <v/>
      </c>
      <c r="AO63" s="99" t="str">
        <f t="shared" si="10"/>
        <v/>
      </c>
      <c r="AP63" s="99" t="str">
        <f t="shared" si="11"/>
        <v/>
      </c>
      <c r="AQ63" s="99" t="str">
        <f t="shared" si="12"/>
        <v/>
      </c>
      <c r="AR63" s="99" t="str">
        <f t="shared" si="13"/>
        <v/>
      </c>
      <c r="AS63" s="99" t="str">
        <f t="shared" si="14"/>
        <v/>
      </c>
      <c r="AT63" s="99" t="str">
        <f t="shared" si="15"/>
        <v/>
      </c>
      <c r="AU63" s="99" t="str">
        <f t="shared" si="16"/>
        <v/>
      </c>
      <c r="AV63" s="99" t="str">
        <f t="shared" si="17"/>
        <v/>
      </c>
      <c r="AW63" s="99" t="str">
        <f t="shared" si="18"/>
        <v/>
      </c>
      <c r="AX63" s="99" t="str">
        <f t="shared" si="19"/>
        <v/>
      </c>
      <c r="AY63" s="99" t="str">
        <f t="shared" si="20"/>
        <v/>
      </c>
      <c r="AZ63" s="99" t="str">
        <f t="shared" si="21"/>
        <v/>
      </c>
      <c r="BA63" s="98" t="str">
        <f t="shared" si="22"/>
        <v/>
      </c>
    </row>
    <row r="64" spans="1:53" ht="15" customHeight="1" thickBot="1" x14ac:dyDescent="0.4">
      <c r="A64" s="114"/>
      <c r="B64" s="4"/>
      <c r="C64" s="58"/>
      <c r="D64" s="49"/>
      <c r="E64" s="58"/>
      <c r="F64" s="62"/>
      <c r="G64" s="49"/>
      <c r="H64" s="49"/>
      <c r="I64" s="49"/>
      <c r="J64" s="49"/>
      <c r="K64" s="49"/>
      <c r="L64" s="49"/>
      <c r="M64" s="82"/>
      <c r="N64" s="54"/>
      <c r="O64" s="54"/>
      <c r="P64" s="58"/>
      <c r="Q64" s="7"/>
      <c r="R64" s="103">
        <f t="shared" si="5"/>
        <v>0</v>
      </c>
      <c r="S64" s="88"/>
      <c r="T64" s="155"/>
      <c r="U64" s="155"/>
      <c r="V64" s="9"/>
      <c r="W64" s="27" t="str">
        <f t="shared" si="40"/>
        <v/>
      </c>
      <c r="X64" s="29" t="str">
        <f t="shared" si="42"/>
        <v/>
      </c>
      <c r="Y64" s="29" t="str">
        <f t="shared" si="43"/>
        <v/>
      </c>
      <c r="Z64" s="29" t="str">
        <f t="shared" si="43"/>
        <v/>
      </c>
      <c r="AA64" s="29" t="str">
        <f t="shared" si="43"/>
        <v/>
      </c>
      <c r="AB64" s="29" t="str">
        <f t="shared" si="43"/>
        <v/>
      </c>
      <c r="AC64" s="29" t="str">
        <f t="shared" si="43"/>
        <v/>
      </c>
      <c r="AD64" s="29" t="str">
        <f t="shared" si="43"/>
        <v/>
      </c>
      <c r="AE64" s="29" t="str">
        <f t="shared" si="43"/>
        <v/>
      </c>
      <c r="AF64" s="29" t="str">
        <f t="shared" si="43"/>
        <v/>
      </c>
      <c r="AG64" s="29" t="str">
        <f t="shared" si="43"/>
        <v/>
      </c>
      <c r="AH64" s="29" t="str">
        <f t="shared" si="43"/>
        <v/>
      </c>
      <c r="AI64" s="29" t="str">
        <f t="shared" si="43"/>
        <v/>
      </c>
      <c r="AJ64" s="30" t="str">
        <f t="shared" si="8"/>
        <v/>
      </c>
      <c r="AL64" s="36">
        <f t="shared" si="37"/>
        <v>0</v>
      </c>
      <c r="AM64" s="36">
        <f t="shared" si="38"/>
        <v>0</v>
      </c>
      <c r="AN64" s="99" t="str">
        <f t="shared" si="9"/>
        <v/>
      </c>
      <c r="AO64" s="99" t="str">
        <f t="shared" si="10"/>
        <v/>
      </c>
      <c r="AP64" s="99" t="str">
        <f t="shared" si="11"/>
        <v/>
      </c>
      <c r="AQ64" s="99" t="str">
        <f t="shared" si="12"/>
        <v/>
      </c>
      <c r="AR64" s="99" t="str">
        <f t="shared" si="13"/>
        <v/>
      </c>
      <c r="AS64" s="99" t="str">
        <f t="shared" si="14"/>
        <v/>
      </c>
      <c r="AT64" s="99" t="str">
        <f t="shared" si="15"/>
        <v/>
      </c>
      <c r="AU64" s="99" t="str">
        <f t="shared" si="16"/>
        <v/>
      </c>
      <c r="AV64" s="99" t="str">
        <f t="shared" si="17"/>
        <v/>
      </c>
      <c r="AW64" s="99" t="str">
        <f t="shared" si="18"/>
        <v/>
      </c>
      <c r="AX64" s="99" t="str">
        <f t="shared" si="19"/>
        <v/>
      </c>
      <c r="AY64" s="99" t="str">
        <f t="shared" si="20"/>
        <v/>
      </c>
      <c r="AZ64" s="99" t="str">
        <f t="shared" si="21"/>
        <v/>
      </c>
      <c r="BA64" s="98" t="str">
        <f t="shared" si="22"/>
        <v/>
      </c>
    </row>
    <row r="65" spans="1:53" ht="15" customHeight="1" x14ac:dyDescent="0.35">
      <c r="A65" s="112">
        <v>11</v>
      </c>
      <c r="B65" s="45"/>
      <c r="C65" s="69"/>
      <c r="D65" s="60"/>
      <c r="E65" s="69"/>
      <c r="F65" s="59"/>
      <c r="G65" s="60"/>
      <c r="H65" s="60"/>
      <c r="I65" s="60"/>
      <c r="J65" s="60"/>
      <c r="K65" s="60"/>
      <c r="L65" s="60"/>
      <c r="M65" s="80"/>
      <c r="N65" s="79"/>
      <c r="O65" s="79"/>
      <c r="P65" s="69"/>
      <c r="Q65" s="8"/>
      <c r="R65" s="70">
        <f t="shared" si="5"/>
        <v>0</v>
      </c>
      <c r="S65" s="87"/>
      <c r="T65" s="153"/>
      <c r="U65" s="153"/>
      <c r="V65" s="9"/>
      <c r="W65" s="27" t="str">
        <f t="shared" si="40"/>
        <v/>
      </c>
      <c r="X65" s="29" t="str">
        <f t="shared" si="42"/>
        <v/>
      </c>
      <c r="Y65" s="29" t="str">
        <f t="shared" si="43"/>
        <v/>
      </c>
      <c r="Z65" s="29" t="str">
        <f t="shared" si="43"/>
        <v/>
      </c>
      <c r="AA65" s="29" t="str">
        <f t="shared" si="43"/>
        <v/>
      </c>
      <c r="AB65" s="29" t="str">
        <f t="shared" si="43"/>
        <v/>
      </c>
      <c r="AC65" s="29" t="str">
        <f t="shared" si="43"/>
        <v/>
      </c>
      <c r="AD65" s="29" t="str">
        <f t="shared" si="43"/>
        <v/>
      </c>
      <c r="AE65" s="29" t="str">
        <f t="shared" si="43"/>
        <v/>
      </c>
      <c r="AF65" s="29" t="str">
        <f t="shared" si="43"/>
        <v/>
      </c>
      <c r="AG65" s="29" t="str">
        <f t="shared" si="43"/>
        <v/>
      </c>
      <c r="AH65" s="29" t="str">
        <f t="shared" si="43"/>
        <v/>
      </c>
      <c r="AI65" s="29" t="str">
        <f t="shared" si="43"/>
        <v/>
      </c>
      <c r="AJ65" s="30" t="str">
        <f t="shared" si="8"/>
        <v/>
      </c>
      <c r="AL65" s="36">
        <f t="shared" si="37"/>
        <v>0</v>
      </c>
      <c r="AM65" s="36">
        <f t="shared" si="38"/>
        <v>0</v>
      </c>
      <c r="AN65" s="99" t="str">
        <f t="shared" si="9"/>
        <v/>
      </c>
      <c r="AO65" s="99" t="str">
        <f t="shared" si="10"/>
        <v/>
      </c>
      <c r="AP65" s="99" t="str">
        <f t="shared" si="11"/>
        <v/>
      </c>
      <c r="AQ65" s="99" t="str">
        <f t="shared" si="12"/>
        <v/>
      </c>
      <c r="AR65" s="99" t="str">
        <f t="shared" si="13"/>
        <v/>
      </c>
      <c r="AS65" s="99" t="str">
        <f t="shared" si="14"/>
        <v/>
      </c>
      <c r="AT65" s="99" t="str">
        <f t="shared" si="15"/>
        <v/>
      </c>
      <c r="AU65" s="99" t="str">
        <f t="shared" si="16"/>
        <v/>
      </c>
      <c r="AV65" s="99" t="str">
        <f t="shared" si="17"/>
        <v/>
      </c>
      <c r="AW65" s="99" t="str">
        <f t="shared" si="18"/>
        <v/>
      </c>
      <c r="AX65" s="99" t="str">
        <f t="shared" si="19"/>
        <v/>
      </c>
      <c r="AY65" s="99" t="str">
        <f t="shared" si="20"/>
        <v/>
      </c>
      <c r="AZ65" s="99" t="str">
        <f t="shared" si="21"/>
        <v/>
      </c>
      <c r="BA65" s="98" t="str">
        <f t="shared" si="22"/>
        <v/>
      </c>
    </row>
    <row r="66" spans="1:53" ht="15" customHeight="1" x14ac:dyDescent="0.35">
      <c r="A66" s="113"/>
      <c r="B66" s="46"/>
      <c r="C66" s="50"/>
      <c r="D66" s="48"/>
      <c r="E66" s="50"/>
      <c r="F66" s="61"/>
      <c r="G66" s="48"/>
      <c r="H66" s="48"/>
      <c r="I66" s="48"/>
      <c r="J66" s="48"/>
      <c r="K66" s="48"/>
      <c r="L66" s="48"/>
      <c r="M66" s="81"/>
      <c r="N66" s="53"/>
      <c r="O66" s="53"/>
      <c r="P66" s="50"/>
      <c r="Q66" s="6"/>
      <c r="R66" s="70">
        <f t="shared" si="5"/>
        <v>0</v>
      </c>
      <c r="S66" s="87"/>
      <c r="T66" s="154"/>
      <c r="U66" s="154"/>
      <c r="V66" s="9"/>
      <c r="W66" s="27" t="str">
        <f t="shared" si="40"/>
        <v/>
      </c>
      <c r="X66" s="29" t="str">
        <f t="shared" si="42"/>
        <v/>
      </c>
      <c r="Y66" s="29" t="str">
        <f t="shared" si="43"/>
        <v/>
      </c>
      <c r="Z66" s="29" t="str">
        <f t="shared" si="43"/>
        <v/>
      </c>
      <c r="AA66" s="29" t="str">
        <f t="shared" si="43"/>
        <v/>
      </c>
      <c r="AB66" s="29" t="str">
        <f t="shared" si="43"/>
        <v/>
      </c>
      <c r="AC66" s="29" t="str">
        <f t="shared" si="43"/>
        <v/>
      </c>
      <c r="AD66" s="29" t="str">
        <f t="shared" si="43"/>
        <v/>
      </c>
      <c r="AE66" s="29" t="str">
        <f t="shared" si="43"/>
        <v/>
      </c>
      <c r="AF66" s="29" t="str">
        <f t="shared" si="43"/>
        <v/>
      </c>
      <c r="AG66" s="29" t="str">
        <f t="shared" si="43"/>
        <v/>
      </c>
      <c r="AH66" s="29" t="str">
        <f t="shared" si="43"/>
        <v/>
      </c>
      <c r="AI66" s="29" t="str">
        <f t="shared" si="43"/>
        <v/>
      </c>
      <c r="AJ66" s="30" t="str">
        <f t="shared" si="8"/>
        <v/>
      </c>
      <c r="AL66" s="36">
        <f t="shared" si="37"/>
        <v>0</v>
      </c>
      <c r="AM66" s="36">
        <f t="shared" si="38"/>
        <v>0</v>
      </c>
      <c r="AN66" s="99" t="str">
        <f t="shared" si="9"/>
        <v/>
      </c>
      <c r="AO66" s="99" t="str">
        <f t="shared" si="10"/>
        <v/>
      </c>
      <c r="AP66" s="99" t="str">
        <f t="shared" si="11"/>
        <v/>
      </c>
      <c r="AQ66" s="99" t="str">
        <f t="shared" si="12"/>
        <v/>
      </c>
      <c r="AR66" s="99" t="str">
        <f t="shared" si="13"/>
        <v/>
      </c>
      <c r="AS66" s="99" t="str">
        <f t="shared" si="14"/>
        <v/>
      </c>
      <c r="AT66" s="99" t="str">
        <f t="shared" si="15"/>
        <v/>
      </c>
      <c r="AU66" s="99" t="str">
        <f t="shared" si="16"/>
        <v/>
      </c>
      <c r="AV66" s="99" t="str">
        <f t="shared" si="17"/>
        <v/>
      </c>
      <c r="AW66" s="99" t="str">
        <f t="shared" si="18"/>
        <v/>
      </c>
      <c r="AX66" s="99" t="str">
        <f t="shared" si="19"/>
        <v/>
      </c>
      <c r="AY66" s="99" t="str">
        <f t="shared" si="20"/>
        <v/>
      </c>
      <c r="AZ66" s="99" t="str">
        <f t="shared" si="21"/>
        <v/>
      </c>
      <c r="BA66" s="98" t="str">
        <f t="shared" si="22"/>
        <v/>
      </c>
    </row>
    <row r="67" spans="1:53" ht="15" customHeight="1" x14ac:dyDescent="0.35">
      <c r="A67" s="113"/>
      <c r="B67" s="3"/>
      <c r="C67" s="50"/>
      <c r="D67" s="48"/>
      <c r="E67" s="50"/>
      <c r="F67" s="61"/>
      <c r="G67" s="48"/>
      <c r="H67" s="48"/>
      <c r="I67" s="48"/>
      <c r="J67" s="48"/>
      <c r="K67" s="48"/>
      <c r="L67" s="48"/>
      <c r="M67" s="81"/>
      <c r="N67" s="53"/>
      <c r="O67" s="53"/>
      <c r="P67" s="50"/>
      <c r="Q67" s="6"/>
      <c r="R67" s="70">
        <f t="shared" si="5"/>
        <v>0</v>
      </c>
      <c r="S67" s="87"/>
      <c r="T67" s="154"/>
      <c r="U67" s="154"/>
      <c r="V67" s="9"/>
      <c r="W67" s="27" t="str">
        <f t="shared" si="40"/>
        <v/>
      </c>
      <c r="X67" s="29" t="str">
        <f t="shared" si="42"/>
        <v/>
      </c>
      <c r="Y67" s="29" t="str">
        <f t="shared" si="43"/>
        <v/>
      </c>
      <c r="Z67" s="29" t="str">
        <f t="shared" si="43"/>
        <v/>
      </c>
      <c r="AA67" s="29" t="str">
        <f t="shared" si="43"/>
        <v/>
      </c>
      <c r="AB67" s="29" t="str">
        <f t="shared" si="43"/>
        <v/>
      </c>
      <c r="AC67" s="29" t="str">
        <f t="shared" si="43"/>
        <v/>
      </c>
      <c r="AD67" s="29" t="str">
        <f t="shared" si="43"/>
        <v/>
      </c>
      <c r="AE67" s="29" t="str">
        <f t="shared" si="43"/>
        <v/>
      </c>
      <c r="AF67" s="29" t="str">
        <f t="shared" si="43"/>
        <v/>
      </c>
      <c r="AG67" s="29" t="str">
        <f t="shared" si="43"/>
        <v/>
      </c>
      <c r="AH67" s="29" t="str">
        <f t="shared" si="43"/>
        <v/>
      </c>
      <c r="AI67" s="29" t="str">
        <f t="shared" si="43"/>
        <v/>
      </c>
      <c r="AJ67" s="30" t="str">
        <f t="shared" si="8"/>
        <v/>
      </c>
      <c r="AL67" s="36">
        <f t="shared" si="37"/>
        <v>0</v>
      </c>
      <c r="AM67" s="36">
        <f t="shared" si="38"/>
        <v>0</v>
      </c>
      <c r="AN67" s="99" t="str">
        <f t="shared" si="9"/>
        <v/>
      </c>
      <c r="AO67" s="99" t="str">
        <f t="shared" si="10"/>
        <v/>
      </c>
      <c r="AP67" s="99" t="str">
        <f t="shared" si="11"/>
        <v/>
      </c>
      <c r="AQ67" s="99" t="str">
        <f t="shared" si="12"/>
        <v/>
      </c>
      <c r="AR67" s="99" t="str">
        <f t="shared" si="13"/>
        <v/>
      </c>
      <c r="AS67" s="99" t="str">
        <f t="shared" si="14"/>
        <v/>
      </c>
      <c r="AT67" s="99" t="str">
        <f t="shared" si="15"/>
        <v/>
      </c>
      <c r="AU67" s="99" t="str">
        <f t="shared" si="16"/>
        <v/>
      </c>
      <c r="AV67" s="99" t="str">
        <f t="shared" si="17"/>
        <v/>
      </c>
      <c r="AW67" s="99" t="str">
        <f t="shared" si="18"/>
        <v/>
      </c>
      <c r="AX67" s="99" t="str">
        <f t="shared" si="19"/>
        <v/>
      </c>
      <c r="AY67" s="99" t="str">
        <f t="shared" si="20"/>
        <v/>
      </c>
      <c r="AZ67" s="99" t="str">
        <f t="shared" si="21"/>
        <v/>
      </c>
      <c r="BA67" s="98" t="str">
        <f t="shared" si="22"/>
        <v/>
      </c>
    </row>
    <row r="68" spans="1:53" ht="15" customHeight="1" x14ac:dyDescent="0.35">
      <c r="A68" s="113"/>
      <c r="B68" s="3"/>
      <c r="C68" s="50"/>
      <c r="D68" s="48"/>
      <c r="E68" s="50"/>
      <c r="F68" s="61"/>
      <c r="G68" s="48"/>
      <c r="H68" s="48"/>
      <c r="I68" s="48"/>
      <c r="J68" s="48"/>
      <c r="K68" s="48"/>
      <c r="L68" s="48"/>
      <c r="M68" s="81"/>
      <c r="N68" s="53"/>
      <c r="O68" s="53"/>
      <c r="P68" s="50"/>
      <c r="Q68" s="6"/>
      <c r="R68" s="70">
        <f t="shared" si="5"/>
        <v>0</v>
      </c>
      <c r="S68" s="87"/>
      <c r="T68" s="154"/>
      <c r="U68" s="154"/>
      <c r="V68" s="9"/>
      <c r="W68" s="27" t="str">
        <f t="shared" si="40"/>
        <v/>
      </c>
      <c r="X68" s="29" t="str">
        <f t="shared" si="42"/>
        <v/>
      </c>
      <c r="Y68" s="29" t="str">
        <f t="shared" si="43"/>
        <v/>
      </c>
      <c r="Z68" s="29" t="str">
        <f t="shared" si="43"/>
        <v/>
      </c>
      <c r="AA68" s="29" t="str">
        <f t="shared" si="43"/>
        <v/>
      </c>
      <c r="AB68" s="29" t="str">
        <f t="shared" si="43"/>
        <v/>
      </c>
      <c r="AC68" s="29" t="str">
        <f t="shared" si="43"/>
        <v/>
      </c>
      <c r="AD68" s="29" t="str">
        <f t="shared" si="43"/>
        <v/>
      </c>
      <c r="AE68" s="29" t="str">
        <f t="shared" si="43"/>
        <v/>
      </c>
      <c r="AF68" s="29" t="str">
        <f t="shared" si="43"/>
        <v/>
      </c>
      <c r="AG68" s="29" t="str">
        <f t="shared" si="43"/>
        <v/>
      </c>
      <c r="AH68" s="29" t="str">
        <f t="shared" si="43"/>
        <v/>
      </c>
      <c r="AI68" s="29" t="str">
        <f t="shared" si="43"/>
        <v/>
      </c>
      <c r="AJ68" s="30" t="str">
        <f t="shared" si="8"/>
        <v/>
      </c>
      <c r="AL68" s="36">
        <f t="shared" si="37"/>
        <v>0</v>
      </c>
      <c r="AM68" s="36">
        <f t="shared" si="38"/>
        <v>0</v>
      </c>
      <c r="AN68" s="99" t="str">
        <f t="shared" si="9"/>
        <v/>
      </c>
      <c r="AO68" s="99" t="str">
        <f t="shared" si="10"/>
        <v/>
      </c>
      <c r="AP68" s="99" t="str">
        <f t="shared" si="11"/>
        <v/>
      </c>
      <c r="AQ68" s="99" t="str">
        <f t="shared" si="12"/>
        <v/>
      </c>
      <c r="AR68" s="99" t="str">
        <f t="shared" si="13"/>
        <v/>
      </c>
      <c r="AS68" s="99" t="str">
        <f t="shared" si="14"/>
        <v/>
      </c>
      <c r="AT68" s="99" t="str">
        <f t="shared" si="15"/>
        <v/>
      </c>
      <c r="AU68" s="99" t="str">
        <f t="shared" si="16"/>
        <v/>
      </c>
      <c r="AV68" s="99" t="str">
        <f t="shared" si="17"/>
        <v/>
      </c>
      <c r="AW68" s="99" t="str">
        <f t="shared" si="18"/>
        <v/>
      </c>
      <c r="AX68" s="99" t="str">
        <f t="shared" si="19"/>
        <v/>
      </c>
      <c r="AY68" s="99" t="str">
        <f t="shared" si="20"/>
        <v/>
      </c>
      <c r="AZ68" s="99" t="str">
        <f t="shared" si="21"/>
        <v/>
      </c>
      <c r="BA68" s="98" t="str">
        <f t="shared" si="22"/>
        <v/>
      </c>
    </row>
    <row r="69" spans="1:53" ht="15" customHeight="1" x14ac:dyDescent="0.35">
      <c r="A69" s="113"/>
      <c r="B69" s="3"/>
      <c r="C69" s="50"/>
      <c r="D69" s="48"/>
      <c r="E69" s="50"/>
      <c r="F69" s="61"/>
      <c r="G69" s="48"/>
      <c r="H69" s="48"/>
      <c r="I69" s="48"/>
      <c r="J69" s="48"/>
      <c r="K69" s="48"/>
      <c r="L69" s="48"/>
      <c r="M69" s="81"/>
      <c r="N69" s="53"/>
      <c r="O69" s="53"/>
      <c r="P69" s="50"/>
      <c r="Q69" s="6"/>
      <c r="R69" s="70">
        <f t="shared" si="5"/>
        <v>0</v>
      </c>
      <c r="S69" s="87"/>
      <c r="T69" s="154"/>
      <c r="U69" s="154"/>
      <c r="V69" s="9"/>
      <c r="W69" s="27" t="str">
        <f t="shared" si="40"/>
        <v/>
      </c>
      <c r="X69" s="29" t="str">
        <f t="shared" si="42"/>
        <v/>
      </c>
      <c r="Y69" s="29" t="str">
        <f t="shared" ref="Y69:AI78" si="44">IF(AND(Y$3&lt;&gt;"",$W69&lt;&gt;""),ROUND(2*($R69*(COUNT($X$3:$AI$3)+1)-$W69)*Y$3,0)/2,"")</f>
        <v/>
      </c>
      <c r="Z69" s="29" t="str">
        <f t="shared" si="44"/>
        <v/>
      </c>
      <c r="AA69" s="29" t="str">
        <f t="shared" si="44"/>
        <v/>
      </c>
      <c r="AB69" s="29" t="str">
        <f t="shared" si="44"/>
        <v/>
      </c>
      <c r="AC69" s="29" t="str">
        <f t="shared" si="44"/>
        <v/>
      </c>
      <c r="AD69" s="29" t="str">
        <f t="shared" si="44"/>
        <v/>
      </c>
      <c r="AE69" s="29" t="str">
        <f t="shared" si="44"/>
        <v/>
      </c>
      <c r="AF69" s="29" t="str">
        <f t="shared" si="44"/>
        <v/>
      </c>
      <c r="AG69" s="29" t="str">
        <f t="shared" si="44"/>
        <v/>
      </c>
      <c r="AH69" s="29" t="str">
        <f t="shared" si="44"/>
        <v/>
      </c>
      <c r="AI69" s="29" t="str">
        <f t="shared" si="44"/>
        <v/>
      </c>
      <c r="AJ69" s="30" t="str">
        <f t="shared" si="8"/>
        <v/>
      </c>
      <c r="AL69" s="36">
        <f t="shared" si="37"/>
        <v>0</v>
      </c>
      <c r="AM69" s="36">
        <f t="shared" si="38"/>
        <v>0</v>
      </c>
      <c r="AN69" s="99" t="str">
        <f t="shared" si="9"/>
        <v/>
      </c>
      <c r="AO69" s="99" t="str">
        <f t="shared" si="10"/>
        <v/>
      </c>
      <c r="AP69" s="99" t="str">
        <f t="shared" si="11"/>
        <v/>
      </c>
      <c r="AQ69" s="99" t="str">
        <f t="shared" si="12"/>
        <v/>
      </c>
      <c r="AR69" s="99" t="str">
        <f t="shared" si="13"/>
        <v/>
      </c>
      <c r="AS69" s="99" t="str">
        <f t="shared" si="14"/>
        <v/>
      </c>
      <c r="AT69" s="99" t="str">
        <f t="shared" si="15"/>
        <v/>
      </c>
      <c r="AU69" s="99" t="str">
        <f t="shared" si="16"/>
        <v/>
      </c>
      <c r="AV69" s="99" t="str">
        <f t="shared" si="17"/>
        <v/>
      </c>
      <c r="AW69" s="99" t="str">
        <f t="shared" si="18"/>
        <v/>
      </c>
      <c r="AX69" s="99" t="str">
        <f t="shared" si="19"/>
        <v/>
      </c>
      <c r="AY69" s="99" t="str">
        <f t="shared" si="20"/>
        <v/>
      </c>
      <c r="AZ69" s="99" t="str">
        <f t="shared" si="21"/>
        <v/>
      </c>
      <c r="BA69" s="98" t="str">
        <f t="shared" si="22"/>
        <v/>
      </c>
    </row>
    <row r="70" spans="1:53" ht="15" customHeight="1" thickBot="1" x14ac:dyDescent="0.4">
      <c r="A70" s="114"/>
      <c r="B70" s="4"/>
      <c r="C70" s="58"/>
      <c r="D70" s="49"/>
      <c r="E70" s="58"/>
      <c r="F70" s="62"/>
      <c r="G70" s="49"/>
      <c r="H70" s="49"/>
      <c r="I70" s="49"/>
      <c r="J70" s="49"/>
      <c r="K70" s="49"/>
      <c r="L70" s="49"/>
      <c r="M70" s="82"/>
      <c r="N70" s="54"/>
      <c r="O70" s="54"/>
      <c r="P70" s="58"/>
      <c r="Q70" s="7"/>
      <c r="R70" s="101">
        <f t="shared" ref="R70:R124" si="45">ROUNDDOWN(2*(SUMPRODUCT(C$4:P$4,C70:P70)/SUM(C$4:P$4)*20+Q70),0)/2</f>
        <v>0</v>
      </c>
      <c r="S70" s="88"/>
      <c r="T70" s="155"/>
      <c r="U70" s="155"/>
      <c r="V70" s="9"/>
      <c r="W70" s="27" t="str">
        <f t="shared" si="40"/>
        <v/>
      </c>
      <c r="X70" s="29" t="str">
        <f t="shared" si="42"/>
        <v/>
      </c>
      <c r="Y70" s="29" t="str">
        <f t="shared" si="44"/>
        <v/>
      </c>
      <c r="Z70" s="29" t="str">
        <f t="shared" si="44"/>
        <v/>
      </c>
      <c r="AA70" s="29" t="str">
        <f t="shared" si="44"/>
        <v/>
      </c>
      <c r="AB70" s="29" t="str">
        <f t="shared" si="44"/>
        <v/>
      </c>
      <c r="AC70" s="29" t="str">
        <f t="shared" si="44"/>
        <v/>
      </c>
      <c r="AD70" s="29" t="str">
        <f t="shared" si="44"/>
        <v/>
      </c>
      <c r="AE70" s="29" t="str">
        <f t="shared" si="44"/>
        <v/>
      </c>
      <c r="AF70" s="29" t="str">
        <f t="shared" si="44"/>
        <v/>
      </c>
      <c r="AG70" s="29" t="str">
        <f t="shared" si="44"/>
        <v/>
      </c>
      <c r="AH70" s="29" t="str">
        <f t="shared" si="44"/>
        <v/>
      </c>
      <c r="AI70" s="29" t="str">
        <f t="shared" si="44"/>
        <v/>
      </c>
      <c r="AJ70" s="30" t="str">
        <f t="shared" ref="AJ70:AJ124" si="46">IF(COUNT(W70:AI70)&gt;0,ROUND(2*AVERAGE(W70:AE70),0)/2,"")</f>
        <v/>
      </c>
      <c r="AL70" s="36">
        <f t="shared" ref="AL70:AL101" si="47">IF(R70&lt;10,MAX(0,2*R70-10),MAX(10,2*R70-20))</f>
        <v>0</v>
      </c>
      <c r="AM70" s="36">
        <f t="shared" ref="AM70:AM101" si="48">2*R70-AL70</f>
        <v>0</v>
      </c>
      <c r="AN70" s="99" t="str">
        <f t="shared" ref="AN70:AN124" si="49">IF(W70&lt;&gt;"",MIN($AM70,MAX($AL70,IF($AJ70&gt;0,0.5*ROUNDUP(2*((W70-MIN($W70:$AI70))/(MAX($W70:$AI70)-MIN($W70:$AI70))*($AM70-$AL70+IF(Q70&gt;10,1,0))+$AL70),0),0))),"")</f>
        <v/>
      </c>
      <c r="AO70" s="99" t="str">
        <f t="shared" ref="AO70:AO124" si="50">IF(X70&lt;&gt;"",MIN($AM70,MAX($AL70,IF($AJ70&gt;0,0.5*ROUNDUP(2*((X70-MIN($W70:$AI70))/(MAX($W70:$AI70)-MIN($W70:$AI70))*($AM70-$AL70+IF(R70&gt;10,1,0))+$AL70),0),0))),"")</f>
        <v/>
      </c>
      <c r="AP70" s="99" t="str">
        <f t="shared" ref="AP70:AP124" si="51">IF(Y70&lt;&gt;"",MIN($AM70,MAX($AL70,IF($AJ70&gt;0,0.5*ROUNDUP(2*((Y70-MIN($W70:$AI70))/(MAX($W70:$AI70)-MIN($W70:$AI70))*($AM70-$AL70+IF(S70&gt;10,1,0))+$AL70),0),0))),"")</f>
        <v/>
      </c>
      <c r="AQ70" s="99" t="str">
        <f t="shared" ref="AQ70:AQ124" si="52">IF(Z70&lt;&gt;"",MIN($AM70,MAX($AL70,IF($AJ70&gt;0,0.5*ROUNDUP(2*((Z70-MIN($W70:$AI70))/(MAX($W70:$AI70)-MIN($W70:$AI70))*($AM70-$AL70+IF(T70&gt;10,1,0))+$AL70),0),0))),"")</f>
        <v/>
      </c>
      <c r="AR70" s="99" t="str">
        <f t="shared" ref="AR70:AR124" si="53">IF(AA70&lt;&gt;"",MIN($AM70,MAX($AL70,IF($AJ70&gt;0,0.5*ROUNDUP(2*((AA70-MIN($W70:$AI70))/(MAX($W70:$AI70)-MIN($W70:$AI70))*($AM70-$AL70+IF(U70&gt;10,1,0))+$AL70),0),0))),"")</f>
        <v/>
      </c>
      <c r="AS70" s="99" t="str">
        <f t="shared" ref="AS70:AS124" si="54">IF(AB70&lt;&gt;"",MIN($AM70,MAX($AL70,IF($AJ70&gt;0,0.5*ROUNDUP(2*((AB70-MIN($W70:$AI70))/(MAX($W70:$AI70)-MIN($W70:$AI70))*($AM70-$AL70+IF(V70&gt;10,1,0))+$AL70),0),0))),"")</f>
        <v/>
      </c>
      <c r="AT70" s="99" t="str">
        <f t="shared" ref="AT70:AT124" si="55">IF(AC70&lt;&gt;"",MIN($AM70,MAX($AL70,IF($AJ70&gt;0,0.5*ROUNDUP(2*((AC70-MIN($W70:$AI70))/(MAX($W70:$AI70)-MIN($W70:$AI70))*($AM70-$AL70+IF(W70&gt;10,1,0))+$AL70),0),0))),"")</f>
        <v/>
      </c>
      <c r="AU70" s="99" t="str">
        <f t="shared" ref="AU70:AU124" si="56">IF(AD70&lt;&gt;"",MIN($AM70,MAX($AL70,IF($AJ70&gt;0,0.5*ROUNDUP(2*((AD70-MIN($W70:$AI70))/(MAX($W70:$AI70)-MIN($W70:$AI70))*($AM70-$AL70+IF(X70&gt;10,1,0))+$AL70),0),0))),"")</f>
        <v/>
      </c>
      <c r="AV70" s="99" t="str">
        <f t="shared" ref="AV70:AV124" si="57">IF(AE70&lt;&gt;"",MIN($AM70,MAX($AL70,IF($AJ70&gt;0,0.5*ROUNDUP(2*((AE70-MIN($W70:$AI70))/(MAX($W70:$AI70)-MIN($W70:$AI70))*($AM70-$AL70+IF(Y70&gt;10,1,0))+$AL70),0),0))),"")</f>
        <v/>
      </c>
      <c r="AW70" s="99" t="str">
        <f t="shared" ref="AW70:AW124" si="58">IF(AF70&lt;&gt;"",MIN($AM70,MAX($AL70,IF($AJ70&gt;0,0.5*ROUNDUP(2*((AF70-MIN($W70:$AI70))/(MAX($W70:$AI70)-MIN($W70:$AI70))*($AM70-$AL70+IF(Z70&gt;10,1,0))+$AL70),0),0))),"")</f>
        <v/>
      </c>
      <c r="AX70" s="99" t="str">
        <f t="shared" ref="AX70:AX124" si="59">IF(AG70&lt;&gt;"",MIN($AM70,MAX($AL70,IF($AJ70&gt;0,0.5*ROUNDUP(2*((AG70-MIN($W70:$AI70))/(MAX($W70:$AI70)-MIN($W70:$AI70))*($AM70-$AL70+IF(AA70&gt;10,1,0))+$AL70),0),0))),"")</f>
        <v/>
      </c>
      <c r="AY70" s="99" t="str">
        <f t="shared" ref="AY70:AY124" si="60">IF(AH70&lt;&gt;"",MIN($AM70,MAX($AL70,IF($AJ70&gt;0,0.5*ROUNDUP(2*((AH70-MIN($W70:$AI70))/(MAX($W70:$AI70)-MIN($W70:$AI70))*($AM70-$AL70+IF(AB70&gt;10,1,0))+$AL70),0),0))),"")</f>
        <v/>
      </c>
      <c r="AZ70" s="99" t="str">
        <f t="shared" ref="AZ70:AZ124" si="61">IF(AI70&lt;&gt;"",MIN($AM70,MAX($AL70,IF($AJ70&gt;0,0.5*ROUNDUP(2*((AI70-MIN($W70:$AI70))/(MAX($W70:$AI70)-MIN($W70:$AI70))*($AM70-$AL70+IF(AC70&gt;10,1,0))+$AL70),0),0))),"")</f>
        <v/>
      </c>
      <c r="BA70" s="98" t="str">
        <f t="shared" ref="BA70:BA123" si="62">IF(ISNUMBER(AJ70),ROUND(2*AVERAGE(AN70:AZ70),0)/2,"")</f>
        <v/>
      </c>
    </row>
    <row r="71" spans="1:53" ht="15" customHeight="1" x14ac:dyDescent="0.35">
      <c r="A71" s="112">
        <v>12</v>
      </c>
      <c r="B71" s="5"/>
      <c r="C71" s="69"/>
      <c r="D71" s="60"/>
      <c r="E71" s="69"/>
      <c r="F71" s="59"/>
      <c r="G71" s="60"/>
      <c r="H71" s="60"/>
      <c r="I71" s="60"/>
      <c r="J71" s="60"/>
      <c r="K71" s="60"/>
      <c r="L71" s="60"/>
      <c r="M71" s="80"/>
      <c r="N71" s="79"/>
      <c r="O71" s="79"/>
      <c r="P71" s="69"/>
      <c r="Q71" s="8"/>
      <c r="R71" s="102">
        <f t="shared" si="45"/>
        <v>0</v>
      </c>
      <c r="S71" s="87"/>
      <c r="T71" s="153"/>
      <c r="U71" s="153"/>
      <c r="V71" s="9"/>
      <c r="W71" s="27" t="str">
        <f t="shared" si="40"/>
        <v/>
      </c>
      <c r="X71" s="29" t="str">
        <f t="shared" si="42"/>
        <v/>
      </c>
      <c r="Y71" s="29" t="str">
        <f t="shared" si="44"/>
        <v/>
      </c>
      <c r="Z71" s="29" t="str">
        <f t="shared" si="44"/>
        <v/>
      </c>
      <c r="AA71" s="29" t="str">
        <f t="shared" si="44"/>
        <v/>
      </c>
      <c r="AB71" s="29" t="str">
        <f t="shared" si="44"/>
        <v/>
      </c>
      <c r="AC71" s="29" t="str">
        <f t="shared" si="44"/>
        <v/>
      </c>
      <c r="AD71" s="29" t="str">
        <f t="shared" si="44"/>
        <v/>
      </c>
      <c r="AE71" s="29" t="str">
        <f t="shared" si="44"/>
        <v/>
      </c>
      <c r="AF71" s="29" t="str">
        <f t="shared" si="44"/>
        <v/>
      </c>
      <c r="AG71" s="29" t="str">
        <f t="shared" si="44"/>
        <v/>
      </c>
      <c r="AH71" s="29" t="str">
        <f t="shared" si="44"/>
        <v/>
      </c>
      <c r="AI71" s="29" t="str">
        <f t="shared" si="44"/>
        <v/>
      </c>
      <c r="AJ71" s="30" t="str">
        <f t="shared" si="46"/>
        <v/>
      </c>
      <c r="AL71" s="36">
        <f t="shared" si="47"/>
        <v>0</v>
      </c>
      <c r="AM71" s="36">
        <f t="shared" si="48"/>
        <v>0</v>
      </c>
      <c r="AN71" s="99" t="str">
        <f t="shared" si="49"/>
        <v/>
      </c>
      <c r="AO71" s="99" t="str">
        <f t="shared" si="50"/>
        <v/>
      </c>
      <c r="AP71" s="99" t="str">
        <f t="shared" si="51"/>
        <v/>
      </c>
      <c r="AQ71" s="99" t="str">
        <f t="shared" si="52"/>
        <v/>
      </c>
      <c r="AR71" s="99" t="str">
        <f t="shared" si="53"/>
        <v/>
      </c>
      <c r="AS71" s="99" t="str">
        <f t="shared" si="54"/>
        <v/>
      </c>
      <c r="AT71" s="99" t="str">
        <f t="shared" si="55"/>
        <v/>
      </c>
      <c r="AU71" s="99" t="str">
        <f t="shared" si="56"/>
        <v/>
      </c>
      <c r="AV71" s="99" t="str">
        <f t="shared" si="57"/>
        <v/>
      </c>
      <c r="AW71" s="99" t="str">
        <f t="shared" si="58"/>
        <v/>
      </c>
      <c r="AX71" s="99" t="str">
        <f t="shared" si="59"/>
        <v/>
      </c>
      <c r="AY71" s="99" t="str">
        <f t="shared" si="60"/>
        <v/>
      </c>
      <c r="AZ71" s="99" t="str">
        <f t="shared" si="61"/>
        <v/>
      </c>
      <c r="BA71" s="98" t="str">
        <f t="shared" si="62"/>
        <v/>
      </c>
    </row>
    <row r="72" spans="1:53" ht="15" customHeight="1" x14ac:dyDescent="0.35">
      <c r="A72" s="113"/>
      <c r="B72" s="3"/>
      <c r="C72" s="50"/>
      <c r="D72" s="48"/>
      <c r="E72" s="50"/>
      <c r="F72" s="61"/>
      <c r="G72" s="48"/>
      <c r="H72" s="48"/>
      <c r="I72" s="48"/>
      <c r="J72" s="48"/>
      <c r="K72" s="48"/>
      <c r="L72" s="48"/>
      <c r="M72" s="81"/>
      <c r="N72" s="53"/>
      <c r="O72" s="53"/>
      <c r="P72" s="50"/>
      <c r="Q72" s="6"/>
      <c r="R72" s="70">
        <f t="shared" si="45"/>
        <v>0</v>
      </c>
      <c r="S72" s="87"/>
      <c r="T72" s="154"/>
      <c r="U72" s="154"/>
      <c r="V72" s="9"/>
      <c r="W72" s="27" t="str">
        <f t="shared" si="40"/>
        <v/>
      </c>
      <c r="X72" s="29" t="str">
        <f t="shared" si="42"/>
        <v/>
      </c>
      <c r="Y72" s="29" t="str">
        <f t="shared" si="44"/>
        <v/>
      </c>
      <c r="Z72" s="29" t="str">
        <f t="shared" si="44"/>
        <v/>
      </c>
      <c r="AA72" s="29" t="str">
        <f t="shared" si="44"/>
        <v/>
      </c>
      <c r="AB72" s="29" t="str">
        <f t="shared" si="44"/>
        <v/>
      </c>
      <c r="AC72" s="29" t="str">
        <f t="shared" si="44"/>
        <v/>
      </c>
      <c r="AD72" s="29" t="str">
        <f t="shared" si="44"/>
        <v/>
      </c>
      <c r="AE72" s="29" t="str">
        <f t="shared" si="44"/>
        <v/>
      </c>
      <c r="AF72" s="29" t="str">
        <f t="shared" si="44"/>
        <v/>
      </c>
      <c r="AG72" s="29" t="str">
        <f t="shared" si="44"/>
        <v/>
      </c>
      <c r="AH72" s="29" t="str">
        <f t="shared" si="44"/>
        <v/>
      </c>
      <c r="AI72" s="29" t="str">
        <f t="shared" si="44"/>
        <v/>
      </c>
      <c r="AJ72" s="30" t="str">
        <f t="shared" si="46"/>
        <v/>
      </c>
      <c r="AL72" s="36">
        <f t="shared" si="47"/>
        <v>0</v>
      </c>
      <c r="AM72" s="36">
        <f t="shared" si="48"/>
        <v>0</v>
      </c>
      <c r="AN72" s="99" t="str">
        <f t="shared" si="49"/>
        <v/>
      </c>
      <c r="AO72" s="99" t="str">
        <f t="shared" si="50"/>
        <v/>
      </c>
      <c r="AP72" s="99" t="str">
        <f t="shared" si="51"/>
        <v/>
      </c>
      <c r="AQ72" s="99" t="str">
        <f t="shared" si="52"/>
        <v/>
      </c>
      <c r="AR72" s="99" t="str">
        <f t="shared" si="53"/>
        <v/>
      </c>
      <c r="AS72" s="99" t="str">
        <f t="shared" si="54"/>
        <v/>
      </c>
      <c r="AT72" s="99" t="str">
        <f t="shared" si="55"/>
        <v/>
      </c>
      <c r="AU72" s="99" t="str">
        <f t="shared" si="56"/>
        <v/>
      </c>
      <c r="AV72" s="99" t="str">
        <f t="shared" si="57"/>
        <v/>
      </c>
      <c r="AW72" s="99" t="str">
        <f t="shared" si="58"/>
        <v/>
      </c>
      <c r="AX72" s="99" t="str">
        <f t="shared" si="59"/>
        <v/>
      </c>
      <c r="AY72" s="99" t="str">
        <f t="shared" si="60"/>
        <v/>
      </c>
      <c r="AZ72" s="99" t="str">
        <f t="shared" si="61"/>
        <v/>
      </c>
      <c r="BA72" s="98" t="str">
        <f t="shared" si="62"/>
        <v/>
      </c>
    </row>
    <row r="73" spans="1:53" ht="15" customHeight="1" x14ac:dyDescent="0.35">
      <c r="A73" s="113"/>
      <c r="B73" s="3"/>
      <c r="C73" s="50"/>
      <c r="D73" s="48"/>
      <c r="E73" s="50"/>
      <c r="F73" s="61"/>
      <c r="G73" s="48"/>
      <c r="H73" s="48"/>
      <c r="I73" s="48"/>
      <c r="J73" s="48"/>
      <c r="K73" s="48"/>
      <c r="L73" s="48"/>
      <c r="M73" s="81"/>
      <c r="N73" s="53"/>
      <c r="O73" s="53"/>
      <c r="P73" s="50"/>
      <c r="Q73" s="6"/>
      <c r="R73" s="70">
        <f t="shared" si="45"/>
        <v>0</v>
      </c>
      <c r="S73" s="87"/>
      <c r="T73" s="154"/>
      <c r="U73" s="154"/>
      <c r="V73" s="9"/>
      <c r="W73" s="27" t="str">
        <f t="shared" ref="W73:W104" si="63">IF(COUNT(D73:Q73)&gt;0,ROUND(2*SUM(N73:Q73)/7*20,0)/2,"")</f>
        <v/>
      </c>
      <c r="X73" s="29" t="str">
        <f t="shared" si="42"/>
        <v/>
      </c>
      <c r="Y73" s="29" t="str">
        <f t="shared" si="44"/>
        <v/>
      </c>
      <c r="Z73" s="29" t="str">
        <f t="shared" si="44"/>
        <v/>
      </c>
      <c r="AA73" s="29" t="str">
        <f t="shared" si="44"/>
        <v/>
      </c>
      <c r="AB73" s="29" t="str">
        <f t="shared" si="44"/>
        <v/>
      </c>
      <c r="AC73" s="29" t="str">
        <f t="shared" si="44"/>
        <v/>
      </c>
      <c r="AD73" s="29" t="str">
        <f t="shared" si="44"/>
        <v/>
      </c>
      <c r="AE73" s="29" t="str">
        <f t="shared" si="44"/>
        <v/>
      </c>
      <c r="AF73" s="29" t="str">
        <f t="shared" si="44"/>
        <v/>
      </c>
      <c r="AG73" s="29" t="str">
        <f t="shared" si="44"/>
        <v/>
      </c>
      <c r="AH73" s="29" t="str">
        <f t="shared" si="44"/>
        <v/>
      </c>
      <c r="AI73" s="29" t="str">
        <f t="shared" si="44"/>
        <v/>
      </c>
      <c r="AJ73" s="30" t="str">
        <f t="shared" si="46"/>
        <v/>
      </c>
      <c r="AL73" s="36">
        <f t="shared" si="47"/>
        <v>0</v>
      </c>
      <c r="AM73" s="36">
        <f t="shared" si="48"/>
        <v>0</v>
      </c>
      <c r="AN73" s="99" t="str">
        <f t="shared" si="49"/>
        <v/>
      </c>
      <c r="AO73" s="99" t="str">
        <f t="shared" si="50"/>
        <v/>
      </c>
      <c r="AP73" s="99" t="str">
        <f t="shared" si="51"/>
        <v/>
      </c>
      <c r="AQ73" s="99" t="str">
        <f t="shared" si="52"/>
        <v/>
      </c>
      <c r="AR73" s="99" t="str">
        <f t="shared" si="53"/>
        <v/>
      </c>
      <c r="AS73" s="99" t="str">
        <f t="shared" si="54"/>
        <v/>
      </c>
      <c r="AT73" s="99" t="str">
        <f t="shared" si="55"/>
        <v/>
      </c>
      <c r="AU73" s="99" t="str">
        <f t="shared" si="56"/>
        <v/>
      </c>
      <c r="AV73" s="99" t="str">
        <f t="shared" si="57"/>
        <v/>
      </c>
      <c r="AW73" s="99" t="str">
        <f t="shared" si="58"/>
        <v/>
      </c>
      <c r="AX73" s="99" t="str">
        <f t="shared" si="59"/>
        <v/>
      </c>
      <c r="AY73" s="99" t="str">
        <f t="shared" si="60"/>
        <v/>
      </c>
      <c r="AZ73" s="99" t="str">
        <f t="shared" si="61"/>
        <v/>
      </c>
      <c r="BA73" s="98" t="str">
        <f t="shared" si="62"/>
        <v/>
      </c>
    </row>
    <row r="74" spans="1:53" ht="15" customHeight="1" x14ac:dyDescent="0.35">
      <c r="A74" s="113"/>
      <c r="B74" s="3"/>
      <c r="C74" s="50"/>
      <c r="D74" s="48"/>
      <c r="E74" s="50"/>
      <c r="F74" s="61"/>
      <c r="G74" s="48"/>
      <c r="H74" s="48"/>
      <c r="I74" s="48"/>
      <c r="J74" s="48"/>
      <c r="K74" s="48"/>
      <c r="L74" s="48"/>
      <c r="M74" s="81"/>
      <c r="N74" s="53"/>
      <c r="O74" s="53"/>
      <c r="P74" s="50"/>
      <c r="Q74" s="6"/>
      <c r="R74" s="70">
        <f t="shared" si="45"/>
        <v>0</v>
      </c>
      <c r="S74" s="87"/>
      <c r="T74" s="154"/>
      <c r="U74" s="154"/>
      <c r="V74" s="9"/>
      <c r="W74" s="27" t="str">
        <f t="shared" si="63"/>
        <v/>
      </c>
      <c r="X74" s="29" t="str">
        <f t="shared" si="42"/>
        <v/>
      </c>
      <c r="Y74" s="29" t="str">
        <f t="shared" si="44"/>
        <v/>
      </c>
      <c r="Z74" s="29" t="str">
        <f t="shared" si="44"/>
        <v/>
      </c>
      <c r="AA74" s="29" t="str">
        <f t="shared" si="44"/>
        <v/>
      </c>
      <c r="AB74" s="29" t="str">
        <f t="shared" si="44"/>
        <v/>
      </c>
      <c r="AC74" s="29" t="str">
        <f t="shared" si="44"/>
        <v/>
      </c>
      <c r="AD74" s="29" t="str">
        <f t="shared" si="44"/>
        <v/>
      </c>
      <c r="AE74" s="29" t="str">
        <f t="shared" si="44"/>
        <v/>
      </c>
      <c r="AF74" s="29" t="str">
        <f t="shared" si="44"/>
        <v/>
      </c>
      <c r="AG74" s="29" t="str">
        <f t="shared" si="44"/>
        <v/>
      </c>
      <c r="AH74" s="29" t="str">
        <f t="shared" si="44"/>
        <v/>
      </c>
      <c r="AI74" s="29" t="str">
        <f t="shared" si="44"/>
        <v/>
      </c>
      <c r="AJ74" s="30" t="str">
        <f t="shared" si="46"/>
        <v/>
      </c>
      <c r="AL74" s="36">
        <f t="shared" si="47"/>
        <v>0</v>
      </c>
      <c r="AM74" s="36">
        <f t="shared" si="48"/>
        <v>0</v>
      </c>
      <c r="AN74" s="99" t="str">
        <f t="shared" si="49"/>
        <v/>
      </c>
      <c r="AO74" s="99" t="str">
        <f t="shared" si="50"/>
        <v/>
      </c>
      <c r="AP74" s="99" t="str">
        <f t="shared" si="51"/>
        <v/>
      </c>
      <c r="AQ74" s="99" t="str">
        <f t="shared" si="52"/>
        <v/>
      </c>
      <c r="AR74" s="99" t="str">
        <f t="shared" si="53"/>
        <v/>
      </c>
      <c r="AS74" s="99" t="str">
        <f t="shared" si="54"/>
        <v/>
      </c>
      <c r="AT74" s="99" t="str">
        <f t="shared" si="55"/>
        <v/>
      </c>
      <c r="AU74" s="99" t="str">
        <f t="shared" si="56"/>
        <v/>
      </c>
      <c r="AV74" s="99" t="str">
        <f t="shared" si="57"/>
        <v/>
      </c>
      <c r="AW74" s="99" t="str">
        <f t="shared" si="58"/>
        <v/>
      </c>
      <c r="AX74" s="99" t="str">
        <f t="shared" si="59"/>
        <v/>
      </c>
      <c r="AY74" s="99" t="str">
        <f t="shared" si="60"/>
        <v/>
      </c>
      <c r="AZ74" s="99" t="str">
        <f t="shared" si="61"/>
        <v/>
      </c>
      <c r="BA74" s="98" t="str">
        <f t="shared" si="62"/>
        <v/>
      </c>
    </row>
    <row r="75" spans="1:53" ht="15" customHeight="1" x14ac:dyDescent="0.35">
      <c r="A75" s="113"/>
      <c r="B75" s="3"/>
      <c r="C75" s="50"/>
      <c r="D75" s="48"/>
      <c r="E75" s="50"/>
      <c r="F75" s="61"/>
      <c r="G75" s="48"/>
      <c r="H75" s="48"/>
      <c r="I75" s="48"/>
      <c r="J75" s="48"/>
      <c r="K75" s="48"/>
      <c r="L75" s="48"/>
      <c r="M75" s="81"/>
      <c r="N75" s="53"/>
      <c r="O75" s="53"/>
      <c r="P75" s="50"/>
      <c r="Q75" s="6"/>
      <c r="R75" s="70">
        <f t="shared" si="45"/>
        <v>0</v>
      </c>
      <c r="S75" s="87"/>
      <c r="T75" s="154"/>
      <c r="U75" s="154"/>
      <c r="V75" s="9"/>
      <c r="W75" s="27" t="str">
        <f t="shared" si="63"/>
        <v/>
      </c>
      <c r="X75" s="29" t="str">
        <f t="shared" si="42"/>
        <v/>
      </c>
      <c r="Y75" s="29" t="str">
        <f t="shared" si="44"/>
        <v/>
      </c>
      <c r="Z75" s="29" t="str">
        <f t="shared" si="44"/>
        <v/>
      </c>
      <c r="AA75" s="29" t="str">
        <f t="shared" si="44"/>
        <v/>
      </c>
      <c r="AB75" s="29" t="str">
        <f t="shared" si="44"/>
        <v/>
      </c>
      <c r="AC75" s="29" t="str">
        <f t="shared" si="44"/>
        <v/>
      </c>
      <c r="AD75" s="29" t="str">
        <f t="shared" si="44"/>
        <v/>
      </c>
      <c r="AE75" s="29" t="str">
        <f t="shared" si="44"/>
        <v/>
      </c>
      <c r="AF75" s="29" t="str">
        <f t="shared" si="44"/>
        <v/>
      </c>
      <c r="AG75" s="29" t="str">
        <f t="shared" si="44"/>
        <v/>
      </c>
      <c r="AH75" s="29" t="str">
        <f t="shared" si="44"/>
        <v/>
      </c>
      <c r="AI75" s="29" t="str">
        <f t="shared" si="44"/>
        <v/>
      </c>
      <c r="AJ75" s="30" t="str">
        <f t="shared" si="46"/>
        <v/>
      </c>
      <c r="AL75" s="36">
        <f t="shared" si="47"/>
        <v>0</v>
      </c>
      <c r="AM75" s="36">
        <f t="shared" si="48"/>
        <v>0</v>
      </c>
      <c r="AN75" s="99" t="str">
        <f t="shared" si="49"/>
        <v/>
      </c>
      <c r="AO75" s="99" t="str">
        <f t="shared" si="50"/>
        <v/>
      </c>
      <c r="AP75" s="99" t="str">
        <f t="shared" si="51"/>
        <v/>
      </c>
      <c r="AQ75" s="99" t="str">
        <f t="shared" si="52"/>
        <v/>
      </c>
      <c r="AR75" s="99" t="str">
        <f t="shared" si="53"/>
        <v/>
      </c>
      <c r="AS75" s="99" t="str">
        <f t="shared" si="54"/>
        <v/>
      </c>
      <c r="AT75" s="99" t="str">
        <f t="shared" si="55"/>
        <v/>
      </c>
      <c r="AU75" s="99" t="str">
        <f t="shared" si="56"/>
        <v/>
      </c>
      <c r="AV75" s="99" t="str">
        <f t="shared" si="57"/>
        <v/>
      </c>
      <c r="AW75" s="99" t="str">
        <f t="shared" si="58"/>
        <v/>
      </c>
      <c r="AX75" s="99" t="str">
        <f t="shared" si="59"/>
        <v/>
      </c>
      <c r="AY75" s="99" t="str">
        <f t="shared" si="60"/>
        <v/>
      </c>
      <c r="AZ75" s="99" t="str">
        <f t="shared" si="61"/>
        <v/>
      </c>
      <c r="BA75" s="98" t="str">
        <f t="shared" si="62"/>
        <v/>
      </c>
    </row>
    <row r="76" spans="1:53" ht="15" customHeight="1" thickBot="1" x14ac:dyDescent="0.4">
      <c r="A76" s="114"/>
      <c r="B76" s="4"/>
      <c r="C76" s="58"/>
      <c r="D76" s="49"/>
      <c r="E76" s="58"/>
      <c r="F76" s="62"/>
      <c r="G76" s="49"/>
      <c r="H76" s="49"/>
      <c r="I76" s="49"/>
      <c r="J76" s="49"/>
      <c r="K76" s="49"/>
      <c r="L76" s="49"/>
      <c r="M76" s="82"/>
      <c r="N76" s="54"/>
      <c r="O76" s="54"/>
      <c r="P76" s="58"/>
      <c r="Q76" s="7"/>
      <c r="R76" s="103">
        <f t="shared" si="45"/>
        <v>0</v>
      </c>
      <c r="S76" s="88"/>
      <c r="T76" s="155"/>
      <c r="U76" s="155"/>
      <c r="V76" s="9"/>
      <c r="W76" s="27" t="str">
        <f t="shared" si="63"/>
        <v/>
      </c>
      <c r="X76" s="29" t="str">
        <f t="shared" si="42"/>
        <v/>
      </c>
      <c r="Y76" s="29" t="str">
        <f t="shared" si="44"/>
        <v/>
      </c>
      <c r="Z76" s="29" t="str">
        <f t="shared" si="44"/>
        <v/>
      </c>
      <c r="AA76" s="29" t="str">
        <f t="shared" si="44"/>
        <v/>
      </c>
      <c r="AB76" s="29" t="str">
        <f t="shared" si="44"/>
        <v/>
      </c>
      <c r="AC76" s="29" t="str">
        <f t="shared" si="44"/>
        <v/>
      </c>
      <c r="AD76" s="29" t="str">
        <f t="shared" si="44"/>
        <v/>
      </c>
      <c r="AE76" s="29" t="str">
        <f t="shared" si="44"/>
        <v/>
      </c>
      <c r="AF76" s="29" t="str">
        <f t="shared" si="44"/>
        <v/>
      </c>
      <c r="AG76" s="29" t="str">
        <f t="shared" si="44"/>
        <v/>
      </c>
      <c r="AH76" s="29" t="str">
        <f t="shared" si="44"/>
        <v/>
      </c>
      <c r="AI76" s="29" t="str">
        <f t="shared" si="44"/>
        <v/>
      </c>
      <c r="AJ76" s="30" t="str">
        <f t="shared" si="46"/>
        <v/>
      </c>
      <c r="AL76" s="36">
        <f t="shared" si="47"/>
        <v>0</v>
      </c>
      <c r="AM76" s="36">
        <f t="shared" si="48"/>
        <v>0</v>
      </c>
      <c r="AN76" s="99" t="str">
        <f t="shared" si="49"/>
        <v/>
      </c>
      <c r="AO76" s="99" t="str">
        <f t="shared" si="50"/>
        <v/>
      </c>
      <c r="AP76" s="99" t="str">
        <f t="shared" si="51"/>
        <v/>
      </c>
      <c r="AQ76" s="99" t="str">
        <f t="shared" si="52"/>
        <v/>
      </c>
      <c r="AR76" s="99" t="str">
        <f t="shared" si="53"/>
        <v/>
      </c>
      <c r="AS76" s="99" t="str">
        <f t="shared" si="54"/>
        <v/>
      </c>
      <c r="AT76" s="99" t="str">
        <f t="shared" si="55"/>
        <v/>
      </c>
      <c r="AU76" s="99" t="str">
        <f t="shared" si="56"/>
        <v/>
      </c>
      <c r="AV76" s="99" t="str">
        <f t="shared" si="57"/>
        <v/>
      </c>
      <c r="AW76" s="99" t="str">
        <f t="shared" si="58"/>
        <v/>
      </c>
      <c r="AX76" s="99" t="str">
        <f t="shared" si="59"/>
        <v/>
      </c>
      <c r="AY76" s="99" t="str">
        <f t="shared" si="60"/>
        <v/>
      </c>
      <c r="AZ76" s="99" t="str">
        <f t="shared" si="61"/>
        <v/>
      </c>
      <c r="BA76" s="98" t="str">
        <f t="shared" si="62"/>
        <v/>
      </c>
    </row>
    <row r="77" spans="1:53" ht="15" customHeight="1" x14ac:dyDescent="0.35">
      <c r="A77" s="112">
        <v>13</v>
      </c>
      <c r="B77" s="5"/>
      <c r="C77" s="69"/>
      <c r="D77" s="60"/>
      <c r="E77" s="69"/>
      <c r="F77" s="59"/>
      <c r="G77" s="60"/>
      <c r="H77" s="60"/>
      <c r="I77" s="60"/>
      <c r="J77" s="60"/>
      <c r="K77" s="60"/>
      <c r="L77" s="60"/>
      <c r="M77" s="80"/>
      <c r="N77" s="79"/>
      <c r="O77" s="79"/>
      <c r="P77" s="69"/>
      <c r="Q77" s="8"/>
      <c r="R77" s="70">
        <f t="shared" si="45"/>
        <v>0</v>
      </c>
      <c r="S77" s="76"/>
      <c r="T77" s="90"/>
      <c r="U77" s="40"/>
      <c r="V77" s="9"/>
      <c r="W77" s="27" t="str">
        <f t="shared" si="63"/>
        <v/>
      </c>
      <c r="X77" s="29" t="str">
        <f t="shared" si="42"/>
        <v/>
      </c>
      <c r="Y77" s="29" t="str">
        <f t="shared" si="44"/>
        <v/>
      </c>
      <c r="Z77" s="29" t="str">
        <f t="shared" si="44"/>
        <v/>
      </c>
      <c r="AA77" s="29" t="str">
        <f t="shared" si="44"/>
        <v/>
      </c>
      <c r="AB77" s="29" t="str">
        <f t="shared" si="44"/>
        <v/>
      </c>
      <c r="AC77" s="29" t="str">
        <f t="shared" si="44"/>
        <v/>
      </c>
      <c r="AD77" s="29" t="str">
        <f t="shared" si="44"/>
        <v/>
      </c>
      <c r="AE77" s="29" t="str">
        <f t="shared" si="44"/>
        <v/>
      </c>
      <c r="AF77" s="29" t="str">
        <f t="shared" si="44"/>
        <v/>
      </c>
      <c r="AG77" s="29" t="str">
        <f t="shared" si="44"/>
        <v/>
      </c>
      <c r="AH77" s="29" t="str">
        <f t="shared" si="44"/>
        <v/>
      </c>
      <c r="AI77" s="29" t="str">
        <f t="shared" si="44"/>
        <v/>
      </c>
      <c r="AJ77" s="30" t="str">
        <f t="shared" si="46"/>
        <v/>
      </c>
      <c r="AL77" s="36">
        <f t="shared" si="47"/>
        <v>0</v>
      </c>
      <c r="AM77" s="36">
        <f t="shared" si="48"/>
        <v>0</v>
      </c>
      <c r="AN77" s="99" t="str">
        <f t="shared" si="49"/>
        <v/>
      </c>
      <c r="AO77" s="99" t="str">
        <f t="shared" si="50"/>
        <v/>
      </c>
      <c r="AP77" s="99" t="str">
        <f t="shared" si="51"/>
        <v/>
      </c>
      <c r="AQ77" s="99" t="str">
        <f t="shared" si="52"/>
        <v/>
      </c>
      <c r="AR77" s="99" t="str">
        <f t="shared" si="53"/>
        <v/>
      </c>
      <c r="AS77" s="99" t="str">
        <f t="shared" si="54"/>
        <v/>
      </c>
      <c r="AT77" s="99" t="str">
        <f t="shared" si="55"/>
        <v/>
      </c>
      <c r="AU77" s="99" t="str">
        <f t="shared" si="56"/>
        <v/>
      </c>
      <c r="AV77" s="99" t="str">
        <f t="shared" si="57"/>
        <v/>
      </c>
      <c r="AW77" s="99" t="str">
        <f t="shared" si="58"/>
        <v/>
      </c>
      <c r="AX77" s="99" t="str">
        <f t="shared" si="59"/>
        <v/>
      </c>
      <c r="AY77" s="99" t="str">
        <f t="shared" si="60"/>
        <v/>
      </c>
      <c r="AZ77" s="99" t="str">
        <f t="shared" si="61"/>
        <v/>
      </c>
      <c r="BA77" s="98" t="str">
        <f t="shared" si="62"/>
        <v/>
      </c>
    </row>
    <row r="78" spans="1:53" ht="15" customHeight="1" x14ac:dyDescent="0.35">
      <c r="A78" s="113"/>
      <c r="B78" s="3"/>
      <c r="C78" s="50"/>
      <c r="D78" s="48"/>
      <c r="E78" s="50"/>
      <c r="F78" s="61"/>
      <c r="G78" s="48"/>
      <c r="H78" s="48"/>
      <c r="I78" s="48"/>
      <c r="J78" s="48"/>
      <c r="K78" s="48"/>
      <c r="L78" s="48"/>
      <c r="M78" s="81"/>
      <c r="N78" s="53"/>
      <c r="O78" s="53"/>
      <c r="P78" s="50"/>
      <c r="Q78" s="6"/>
      <c r="R78" s="70">
        <f t="shared" si="45"/>
        <v>0</v>
      </c>
      <c r="S78" s="76"/>
      <c r="T78" s="91"/>
      <c r="U78" s="41"/>
      <c r="V78" s="9"/>
      <c r="W78" s="27" t="str">
        <f t="shared" si="63"/>
        <v/>
      </c>
      <c r="X78" s="29" t="str">
        <f t="shared" si="42"/>
        <v/>
      </c>
      <c r="Y78" s="29" t="str">
        <f t="shared" si="44"/>
        <v/>
      </c>
      <c r="Z78" s="29" t="str">
        <f t="shared" si="44"/>
        <v/>
      </c>
      <c r="AA78" s="29" t="str">
        <f t="shared" si="44"/>
        <v/>
      </c>
      <c r="AB78" s="29" t="str">
        <f t="shared" si="44"/>
        <v/>
      </c>
      <c r="AC78" s="29" t="str">
        <f t="shared" si="44"/>
        <v/>
      </c>
      <c r="AD78" s="29" t="str">
        <f t="shared" si="44"/>
        <v/>
      </c>
      <c r="AE78" s="29" t="str">
        <f t="shared" si="44"/>
        <v/>
      </c>
      <c r="AF78" s="29" t="str">
        <f t="shared" si="44"/>
        <v/>
      </c>
      <c r="AG78" s="29" t="str">
        <f t="shared" si="44"/>
        <v/>
      </c>
      <c r="AH78" s="29" t="str">
        <f t="shared" si="44"/>
        <v/>
      </c>
      <c r="AI78" s="29" t="str">
        <f t="shared" si="44"/>
        <v/>
      </c>
      <c r="AJ78" s="30" t="str">
        <f t="shared" si="46"/>
        <v/>
      </c>
      <c r="AL78" s="36">
        <f t="shared" si="47"/>
        <v>0</v>
      </c>
      <c r="AM78" s="36">
        <f t="shared" si="48"/>
        <v>0</v>
      </c>
      <c r="AN78" s="99" t="str">
        <f t="shared" si="49"/>
        <v/>
      </c>
      <c r="AO78" s="99" t="str">
        <f t="shared" si="50"/>
        <v/>
      </c>
      <c r="AP78" s="99" t="str">
        <f t="shared" si="51"/>
        <v/>
      </c>
      <c r="AQ78" s="99" t="str">
        <f t="shared" si="52"/>
        <v/>
      </c>
      <c r="AR78" s="99" t="str">
        <f t="shared" si="53"/>
        <v/>
      </c>
      <c r="AS78" s="99" t="str">
        <f t="shared" si="54"/>
        <v/>
      </c>
      <c r="AT78" s="99" t="str">
        <f t="shared" si="55"/>
        <v/>
      </c>
      <c r="AU78" s="99" t="str">
        <f t="shared" si="56"/>
        <v/>
      </c>
      <c r="AV78" s="99" t="str">
        <f t="shared" si="57"/>
        <v/>
      </c>
      <c r="AW78" s="99" t="str">
        <f t="shared" si="58"/>
        <v/>
      </c>
      <c r="AX78" s="99" t="str">
        <f t="shared" si="59"/>
        <v/>
      </c>
      <c r="AY78" s="99" t="str">
        <f t="shared" si="60"/>
        <v/>
      </c>
      <c r="AZ78" s="99" t="str">
        <f t="shared" si="61"/>
        <v/>
      </c>
      <c r="BA78" s="98" t="str">
        <f t="shared" si="62"/>
        <v/>
      </c>
    </row>
    <row r="79" spans="1:53" ht="15" customHeight="1" x14ac:dyDescent="0.35">
      <c r="A79" s="113"/>
      <c r="B79" s="3"/>
      <c r="C79" s="50"/>
      <c r="D79" s="48"/>
      <c r="E79" s="50"/>
      <c r="F79" s="61"/>
      <c r="G79" s="48"/>
      <c r="H79" s="48"/>
      <c r="I79" s="48"/>
      <c r="J79" s="48"/>
      <c r="K79" s="48"/>
      <c r="L79" s="48"/>
      <c r="M79" s="81"/>
      <c r="N79" s="53"/>
      <c r="O79" s="53"/>
      <c r="P79" s="50"/>
      <c r="Q79" s="6"/>
      <c r="R79" s="70">
        <f t="shared" si="45"/>
        <v>0</v>
      </c>
      <c r="S79" s="76"/>
      <c r="T79" s="91"/>
      <c r="U79" s="41"/>
      <c r="V79" s="9"/>
      <c r="W79" s="27" t="str">
        <f t="shared" si="63"/>
        <v/>
      </c>
      <c r="X79" s="29" t="str">
        <f t="shared" si="42"/>
        <v/>
      </c>
      <c r="Y79" s="29" t="str">
        <f t="shared" ref="Y79:AI88" si="64">IF(AND(Y$3&lt;&gt;"",$W79&lt;&gt;""),ROUND(2*($R79*(COUNT($X$3:$AI$3)+1)-$W79)*Y$3,0)/2,"")</f>
        <v/>
      </c>
      <c r="Z79" s="29" t="str">
        <f t="shared" si="64"/>
        <v/>
      </c>
      <c r="AA79" s="29" t="str">
        <f t="shared" si="64"/>
        <v/>
      </c>
      <c r="AB79" s="29" t="str">
        <f t="shared" si="64"/>
        <v/>
      </c>
      <c r="AC79" s="29" t="str">
        <f t="shared" si="64"/>
        <v/>
      </c>
      <c r="AD79" s="29" t="str">
        <f t="shared" si="64"/>
        <v/>
      </c>
      <c r="AE79" s="29" t="str">
        <f t="shared" si="64"/>
        <v/>
      </c>
      <c r="AF79" s="29" t="str">
        <f t="shared" si="64"/>
        <v/>
      </c>
      <c r="AG79" s="29" t="str">
        <f t="shared" si="64"/>
        <v/>
      </c>
      <c r="AH79" s="29" t="str">
        <f t="shared" si="64"/>
        <v/>
      </c>
      <c r="AI79" s="29" t="str">
        <f t="shared" si="64"/>
        <v/>
      </c>
      <c r="AJ79" s="30" t="str">
        <f t="shared" si="46"/>
        <v/>
      </c>
      <c r="AL79" s="36">
        <f t="shared" si="47"/>
        <v>0</v>
      </c>
      <c r="AM79" s="36">
        <f t="shared" si="48"/>
        <v>0</v>
      </c>
      <c r="AN79" s="99" t="str">
        <f t="shared" si="49"/>
        <v/>
      </c>
      <c r="AO79" s="99" t="str">
        <f t="shared" si="50"/>
        <v/>
      </c>
      <c r="AP79" s="99" t="str">
        <f t="shared" si="51"/>
        <v/>
      </c>
      <c r="AQ79" s="99" t="str">
        <f t="shared" si="52"/>
        <v/>
      </c>
      <c r="AR79" s="99" t="str">
        <f t="shared" si="53"/>
        <v/>
      </c>
      <c r="AS79" s="99" t="str">
        <f t="shared" si="54"/>
        <v/>
      </c>
      <c r="AT79" s="99" t="str">
        <f t="shared" si="55"/>
        <v/>
      </c>
      <c r="AU79" s="99" t="str">
        <f t="shared" si="56"/>
        <v/>
      </c>
      <c r="AV79" s="99" t="str">
        <f t="shared" si="57"/>
        <v/>
      </c>
      <c r="AW79" s="99" t="str">
        <f t="shared" si="58"/>
        <v/>
      </c>
      <c r="AX79" s="99" t="str">
        <f t="shared" si="59"/>
        <v/>
      </c>
      <c r="AY79" s="99" t="str">
        <f t="shared" si="60"/>
        <v/>
      </c>
      <c r="AZ79" s="99" t="str">
        <f t="shared" si="61"/>
        <v/>
      </c>
      <c r="BA79" s="98" t="str">
        <f t="shared" si="62"/>
        <v/>
      </c>
    </row>
    <row r="80" spans="1:53" ht="15" customHeight="1" x14ac:dyDescent="0.35">
      <c r="A80" s="113"/>
      <c r="B80" s="3"/>
      <c r="C80" s="50"/>
      <c r="D80" s="48"/>
      <c r="E80" s="50"/>
      <c r="F80" s="61"/>
      <c r="G80" s="48"/>
      <c r="H80" s="48"/>
      <c r="I80" s="48"/>
      <c r="J80" s="48"/>
      <c r="K80" s="48"/>
      <c r="L80" s="48"/>
      <c r="M80" s="81"/>
      <c r="N80" s="53"/>
      <c r="O80" s="53"/>
      <c r="P80" s="50"/>
      <c r="Q80" s="6"/>
      <c r="R80" s="70">
        <f t="shared" si="45"/>
        <v>0</v>
      </c>
      <c r="S80" s="76"/>
      <c r="T80" s="91"/>
      <c r="U80" s="41"/>
      <c r="V80" s="9"/>
      <c r="W80" s="27" t="str">
        <f t="shared" si="63"/>
        <v/>
      </c>
      <c r="X80" s="29" t="str">
        <f t="shared" si="42"/>
        <v/>
      </c>
      <c r="Y80" s="29" t="str">
        <f t="shared" si="64"/>
        <v/>
      </c>
      <c r="Z80" s="29" t="str">
        <f t="shared" si="64"/>
        <v/>
      </c>
      <c r="AA80" s="29" t="str">
        <f t="shared" si="64"/>
        <v/>
      </c>
      <c r="AB80" s="29" t="str">
        <f t="shared" si="64"/>
        <v/>
      </c>
      <c r="AC80" s="29" t="str">
        <f t="shared" si="64"/>
        <v/>
      </c>
      <c r="AD80" s="29" t="str">
        <f t="shared" si="64"/>
        <v/>
      </c>
      <c r="AE80" s="29" t="str">
        <f t="shared" si="64"/>
        <v/>
      </c>
      <c r="AF80" s="29" t="str">
        <f t="shared" si="64"/>
        <v/>
      </c>
      <c r="AG80" s="29" t="str">
        <f t="shared" si="64"/>
        <v/>
      </c>
      <c r="AH80" s="29" t="str">
        <f t="shared" si="64"/>
        <v/>
      </c>
      <c r="AI80" s="29" t="str">
        <f t="shared" si="64"/>
        <v/>
      </c>
      <c r="AJ80" s="30" t="str">
        <f t="shared" si="46"/>
        <v/>
      </c>
      <c r="AL80" s="36">
        <f t="shared" si="47"/>
        <v>0</v>
      </c>
      <c r="AM80" s="36">
        <f t="shared" si="48"/>
        <v>0</v>
      </c>
      <c r="AN80" s="99" t="str">
        <f t="shared" si="49"/>
        <v/>
      </c>
      <c r="AO80" s="99" t="str">
        <f t="shared" si="50"/>
        <v/>
      </c>
      <c r="AP80" s="99" t="str">
        <f t="shared" si="51"/>
        <v/>
      </c>
      <c r="AQ80" s="99" t="str">
        <f t="shared" si="52"/>
        <v/>
      </c>
      <c r="AR80" s="99" t="str">
        <f t="shared" si="53"/>
        <v/>
      </c>
      <c r="AS80" s="99" t="str">
        <f t="shared" si="54"/>
        <v/>
      </c>
      <c r="AT80" s="99" t="str">
        <f t="shared" si="55"/>
        <v/>
      </c>
      <c r="AU80" s="99" t="str">
        <f t="shared" si="56"/>
        <v/>
      </c>
      <c r="AV80" s="99" t="str">
        <f t="shared" si="57"/>
        <v/>
      </c>
      <c r="AW80" s="99" t="str">
        <f t="shared" si="58"/>
        <v/>
      </c>
      <c r="AX80" s="99" t="str">
        <f t="shared" si="59"/>
        <v/>
      </c>
      <c r="AY80" s="99" t="str">
        <f t="shared" si="60"/>
        <v/>
      </c>
      <c r="AZ80" s="99" t="str">
        <f t="shared" si="61"/>
        <v/>
      </c>
      <c r="BA80" s="98" t="str">
        <f t="shared" si="62"/>
        <v/>
      </c>
    </row>
    <row r="81" spans="1:53" ht="15" customHeight="1" x14ac:dyDescent="0.35">
      <c r="A81" s="113"/>
      <c r="B81" s="3"/>
      <c r="C81" s="50"/>
      <c r="D81" s="48"/>
      <c r="E81" s="50"/>
      <c r="F81" s="61"/>
      <c r="G81" s="48"/>
      <c r="H81" s="48"/>
      <c r="I81" s="48"/>
      <c r="J81" s="48"/>
      <c r="K81" s="48"/>
      <c r="L81" s="48"/>
      <c r="M81" s="81"/>
      <c r="N81" s="53"/>
      <c r="O81" s="53"/>
      <c r="P81" s="50"/>
      <c r="Q81" s="6"/>
      <c r="R81" s="70">
        <f t="shared" si="45"/>
        <v>0</v>
      </c>
      <c r="S81" s="76"/>
      <c r="T81" s="91"/>
      <c r="U81" s="41"/>
      <c r="V81" s="9"/>
      <c r="W81" s="27" t="str">
        <f t="shared" si="63"/>
        <v/>
      </c>
      <c r="X81" s="29" t="str">
        <f t="shared" si="42"/>
        <v/>
      </c>
      <c r="Y81" s="29" t="str">
        <f t="shared" si="64"/>
        <v/>
      </c>
      <c r="Z81" s="29" t="str">
        <f t="shared" si="64"/>
        <v/>
      </c>
      <c r="AA81" s="29" t="str">
        <f t="shared" si="64"/>
        <v/>
      </c>
      <c r="AB81" s="29" t="str">
        <f t="shared" si="64"/>
        <v/>
      </c>
      <c r="AC81" s="29" t="str">
        <f t="shared" si="64"/>
        <v/>
      </c>
      <c r="AD81" s="29" t="str">
        <f t="shared" si="64"/>
        <v/>
      </c>
      <c r="AE81" s="29" t="str">
        <f t="shared" si="64"/>
        <v/>
      </c>
      <c r="AF81" s="29" t="str">
        <f t="shared" si="64"/>
        <v/>
      </c>
      <c r="AG81" s="29" t="str">
        <f t="shared" si="64"/>
        <v/>
      </c>
      <c r="AH81" s="29" t="str">
        <f t="shared" si="64"/>
        <v/>
      </c>
      <c r="AI81" s="29" t="str">
        <f t="shared" si="64"/>
        <v/>
      </c>
      <c r="AJ81" s="30" t="str">
        <f t="shared" si="46"/>
        <v/>
      </c>
      <c r="AL81" s="36">
        <f t="shared" si="47"/>
        <v>0</v>
      </c>
      <c r="AM81" s="36">
        <f t="shared" si="48"/>
        <v>0</v>
      </c>
      <c r="AN81" s="99" t="str">
        <f t="shared" si="49"/>
        <v/>
      </c>
      <c r="AO81" s="99" t="str">
        <f t="shared" si="50"/>
        <v/>
      </c>
      <c r="AP81" s="99" t="str">
        <f t="shared" si="51"/>
        <v/>
      </c>
      <c r="AQ81" s="99" t="str">
        <f t="shared" si="52"/>
        <v/>
      </c>
      <c r="AR81" s="99" t="str">
        <f t="shared" si="53"/>
        <v/>
      </c>
      <c r="AS81" s="99" t="str">
        <f t="shared" si="54"/>
        <v/>
      </c>
      <c r="AT81" s="99" t="str">
        <f t="shared" si="55"/>
        <v/>
      </c>
      <c r="AU81" s="99" t="str">
        <f t="shared" si="56"/>
        <v/>
      </c>
      <c r="AV81" s="99" t="str">
        <f t="shared" si="57"/>
        <v/>
      </c>
      <c r="AW81" s="99" t="str">
        <f t="shared" si="58"/>
        <v/>
      </c>
      <c r="AX81" s="99" t="str">
        <f t="shared" si="59"/>
        <v/>
      </c>
      <c r="AY81" s="99" t="str">
        <f t="shared" si="60"/>
        <v/>
      </c>
      <c r="AZ81" s="99" t="str">
        <f t="shared" si="61"/>
        <v/>
      </c>
      <c r="BA81" s="98" t="str">
        <f t="shared" si="62"/>
        <v/>
      </c>
    </row>
    <row r="82" spans="1:53" ht="15" customHeight="1" thickBot="1" x14ac:dyDescent="0.4">
      <c r="A82" s="114"/>
      <c r="B82" s="4"/>
      <c r="C82" s="58"/>
      <c r="D82" s="49"/>
      <c r="E82" s="58"/>
      <c r="F82" s="62"/>
      <c r="G82" s="49"/>
      <c r="H82" s="49"/>
      <c r="I82" s="49"/>
      <c r="J82" s="49"/>
      <c r="K82" s="49"/>
      <c r="L82" s="49"/>
      <c r="M82" s="82"/>
      <c r="N82" s="54"/>
      <c r="O82" s="54"/>
      <c r="P82" s="58"/>
      <c r="Q82" s="7"/>
      <c r="R82" s="101">
        <f t="shared" si="45"/>
        <v>0</v>
      </c>
      <c r="S82" s="77"/>
      <c r="T82" s="92"/>
      <c r="U82" s="42"/>
      <c r="V82" s="9"/>
      <c r="W82" s="27" t="str">
        <f t="shared" si="63"/>
        <v/>
      </c>
      <c r="X82" s="29" t="str">
        <f t="shared" si="42"/>
        <v/>
      </c>
      <c r="Y82" s="29" t="str">
        <f t="shared" si="64"/>
        <v/>
      </c>
      <c r="Z82" s="29" t="str">
        <f t="shared" si="64"/>
        <v/>
      </c>
      <c r="AA82" s="29" t="str">
        <f t="shared" si="64"/>
        <v/>
      </c>
      <c r="AB82" s="29" t="str">
        <f t="shared" si="64"/>
        <v/>
      </c>
      <c r="AC82" s="29" t="str">
        <f t="shared" si="64"/>
        <v/>
      </c>
      <c r="AD82" s="29" t="str">
        <f t="shared" si="64"/>
        <v/>
      </c>
      <c r="AE82" s="29" t="str">
        <f t="shared" si="64"/>
        <v/>
      </c>
      <c r="AF82" s="29" t="str">
        <f t="shared" si="64"/>
        <v/>
      </c>
      <c r="AG82" s="29" t="str">
        <f t="shared" si="64"/>
        <v/>
      </c>
      <c r="AH82" s="29" t="str">
        <f t="shared" si="64"/>
        <v/>
      </c>
      <c r="AI82" s="29" t="str">
        <f t="shared" si="64"/>
        <v/>
      </c>
      <c r="AJ82" s="30" t="str">
        <f t="shared" si="46"/>
        <v/>
      </c>
      <c r="AL82" s="36">
        <f t="shared" si="47"/>
        <v>0</v>
      </c>
      <c r="AM82" s="36">
        <f t="shared" si="48"/>
        <v>0</v>
      </c>
      <c r="AN82" s="99" t="str">
        <f t="shared" si="49"/>
        <v/>
      </c>
      <c r="AO82" s="99" t="str">
        <f t="shared" si="50"/>
        <v/>
      </c>
      <c r="AP82" s="99" t="str">
        <f t="shared" si="51"/>
        <v/>
      </c>
      <c r="AQ82" s="99" t="str">
        <f t="shared" si="52"/>
        <v/>
      </c>
      <c r="AR82" s="99" t="str">
        <f t="shared" si="53"/>
        <v/>
      </c>
      <c r="AS82" s="99" t="str">
        <f t="shared" si="54"/>
        <v/>
      </c>
      <c r="AT82" s="99" t="str">
        <f t="shared" si="55"/>
        <v/>
      </c>
      <c r="AU82" s="99" t="str">
        <f t="shared" si="56"/>
        <v/>
      </c>
      <c r="AV82" s="99" t="str">
        <f t="shared" si="57"/>
        <v/>
      </c>
      <c r="AW82" s="99" t="str">
        <f t="shared" si="58"/>
        <v/>
      </c>
      <c r="AX82" s="99" t="str">
        <f t="shared" si="59"/>
        <v/>
      </c>
      <c r="AY82" s="99" t="str">
        <f t="shared" si="60"/>
        <v/>
      </c>
      <c r="AZ82" s="99" t="str">
        <f t="shared" si="61"/>
        <v/>
      </c>
      <c r="BA82" s="98" t="str">
        <f t="shared" si="62"/>
        <v/>
      </c>
    </row>
    <row r="83" spans="1:53" ht="15" customHeight="1" x14ac:dyDescent="0.35">
      <c r="A83" s="112">
        <v>14</v>
      </c>
      <c r="B83" s="5"/>
      <c r="C83" s="69"/>
      <c r="D83" s="60"/>
      <c r="E83" s="69"/>
      <c r="F83" s="59"/>
      <c r="G83" s="60"/>
      <c r="H83" s="60"/>
      <c r="I83" s="60"/>
      <c r="J83" s="60"/>
      <c r="K83" s="60"/>
      <c r="L83" s="60"/>
      <c r="M83" s="80"/>
      <c r="N83" s="79"/>
      <c r="O83" s="79"/>
      <c r="P83" s="69"/>
      <c r="Q83" s="8"/>
      <c r="R83" s="102">
        <f t="shared" si="45"/>
        <v>0</v>
      </c>
      <c r="S83" s="76"/>
      <c r="T83" s="90"/>
      <c r="U83" s="40"/>
      <c r="V83" s="9"/>
      <c r="W83" s="27" t="str">
        <f t="shared" si="63"/>
        <v/>
      </c>
      <c r="X83" s="29" t="str">
        <f t="shared" si="42"/>
        <v/>
      </c>
      <c r="Y83" s="29" t="str">
        <f t="shared" si="64"/>
        <v/>
      </c>
      <c r="Z83" s="29" t="str">
        <f t="shared" si="64"/>
        <v/>
      </c>
      <c r="AA83" s="29" t="str">
        <f t="shared" si="64"/>
        <v/>
      </c>
      <c r="AB83" s="29" t="str">
        <f t="shared" si="64"/>
        <v/>
      </c>
      <c r="AC83" s="29" t="str">
        <f t="shared" si="64"/>
        <v/>
      </c>
      <c r="AD83" s="29" t="str">
        <f t="shared" si="64"/>
        <v/>
      </c>
      <c r="AE83" s="29" t="str">
        <f t="shared" si="64"/>
        <v/>
      </c>
      <c r="AF83" s="29" t="str">
        <f t="shared" si="64"/>
        <v/>
      </c>
      <c r="AG83" s="29" t="str">
        <f t="shared" si="64"/>
        <v/>
      </c>
      <c r="AH83" s="29" t="str">
        <f t="shared" si="64"/>
        <v/>
      </c>
      <c r="AI83" s="29" t="str">
        <f t="shared" si="64"/>
        <v/>
      </c>
      <c r="AJ83" s="30" t="str">
        <f t="shared" si="46"/>
        <v/>
      </c>
      <c r="AL83" s="36">
        <f t="shared" si="47"/>
        <v>0</v>
      </c>
      <c r="AM83" s="36">
        <f t="shared" si="48"/>
        <v>0</v>
      </c>
      <c r="AN83" s="99" t="str">
        <f t="shared" si="49"/>
        <v/>
      </c>
      <c r="AO83" s="99" t="str">
        <f t="shared" si="50"/>
        <v/>
      </c>
      <c r="AP83" s="99" t="str">
        <f t="shared" si="51"/>
        <v/>
      </c>
      <c r="AQ83" s="99" t="str">
        <f t="shared" si="52"/>
        <v/>
      </c>
      <c r="AR83" s="99" t="str">
        <f t="shared" si="53"/>
        <v/>
      </c>
      <c r="AS83" s="99" t="str">
        <f t="shared" si="54"/>
        <v/>
      </c>
      <c r="AT83" s="99" t="str">
        <f t="shared" si="55"/>
        <v/>
      </c>
      <c r="AU83" s="99" t="str">
        <f t="shared" si="56"/>
        <v/>
      </c>
      <c r="AV83" s="99" t="str">
        <f t="shared" si="57"/>
        <v/>
      </c>
      <c r="AW83" s="99" t="str">
        <f t="shared" si="58"/>
        <v/>
      </c>
      <c r="AX83" s="99" t="str">
        <f t="shared" si="59"/>
        <v/>
      </c>
      <c r="AY83" s="99" t="str">
        <f t="shared" si="60"/>
        <v/>
      </c>
      <c r="AZ83" s="99" t="str">
        <f t="shared" si="61"/>
        <v/>
      </c>
      <c r="BA83" s="98" t="str">
        <f t="shared" si="62"/>
        <v/>
      </c>
    </row>
    <row r="84" spans="1:53" ht="15" customHeight="1" x14ac:dyDescent="0.35">
      <c r="A84" s="113"/>
      <c r="B84" s="3"/>
      <c r="C84" s="50"/>
      <c r="D84" s="48"/>
      <c r="E84" s="50"/>
      <c r="F84" s="61"/>
      <c r="G84" s="48"/>
      <c r="H84" s="48"/>
      <c r="I84" s="48"/>
      <c r="J84" s="48"/>
      <c r="K84" s="48"/>
      <c r="L84" s="48"/>
      <c r="M84" s="81"/>
      <c r="N84" s="53"/>
      <c r="O84" s="53"/>
      <c r="P84" s="50"/>
      <c r="Q84" s="6"/>
      <c r="R84" s="70">
        <f t="shared" si="45"/>
        <v>0</v>
      </c>
      <c r="S84" s="76"/>
      <c r="T84" s="91"/>
      <c r="U84" s="41"/>
      <c r="V84" s="9"/>
      <c r="W84" s="27" t="str">
        <f t="shared" si="63"/>
        <v/>
      </c>
      <c r="X84" s="29" t="str">
        <f t="shared" si="42"/>
        <v/>
      </c>
      <c r="Y84" s="29" t="str">
        <f t="shared" si="64"/>
        <v/>
      </c>
      <c r="Z84" s="29" t="str">
        <f t="shared" si="64"/>
        <v/>
      </c>
      <c r="AA84" s="29" t="str">
        <f t="shared" si="64"/>
        <v/>
      </c>
      <c r="AB84" s="29" t="str">
        <f t="shared" si="64"/>
        <v/>
      </c>
      <c r="AC84" s="29" t="str">
        <f t="shared" si="64"/>
        <v/>
      </c>
      <c r="AD84" s="29" t="str">
        <f t="shared" si="64"/>
        <v/>
      </c>
      <c r="AE84" s="29" t="str">
        <f t="shared" si="64"/>
        <v/>
      </c>
      <c r="AF84" s="29" t="str">
        <f t="shared" si="64"/>
        <v/>
      </c>
      <c r="AG84" s="29" t="str">
        <f t="shared" si="64"/>
        <v/>
      </c>
      <c r="AH84" s="29" t="str">
        <f t="shared" si="64"/>
        <v/>
      </c>
      <c r="AI84" s="29" t="str">
        <f t="shared" si="64"/>
        <v/>
      </c>
      <c r="AJ84" s="30" t="str">
        <f t="shared" si="46"/>
        <v/>
      </c>
      <c r="AL84" s="36">
        <f t="shared" si="47"/>
        <v>0</v>
      </c>
      <c r="AM84" s="36">
        <f t="shared" si="48"/>
        <v>0</v>
      </c>
      <c r="AN84" s="99" t="str">
        <f t="shared" si="49"/>
        <v/>
      </c>
      <c r="AO84" s="99" t="str">
        <f t="shared" si="50"/>
        <v/>
      </c>
      <c r="AP84" s="99" t="str">
        <f t="shared" si="51"/>
        <v/>
      </c>
      <c r="AQ84" s="99" t="str">
        <f t="shared" si="52"/>
        <v/>
      </c>
      <c r="AR84" s="99" t="str">
        <f t="shared" si="53"/>
        <v/>
      </c>
      <c r="AS84" s="99" t="str">
        <f t="shared" si="54"/>
        <v/>
      </c>
      <c r="AT84" s="99" t="str">
        <f t="shared" si="55"/>
        <v/>
      </c>
      <c r="AU84" s="99" t="str">
        <f t="shared" si="56"/>
        <v/>
      </c>
      <c r="AV84" s="99" t="str">
        <f t="shared" si="57"/>
        <v/>
      </c>
      <c r="AW84" s="99" t="str">
        <f t="shared" si="58"/>
        <v/>
      </c>
      <c r="AX84" s="99" t="str">
        <f t="shared" si="59"/>
        <v/>
      </c>
      <c r="AY84" s="99" t="str">
        <f t="shared" si="60"/>
        <v/>
      </c>
      <c r="AZ84" s="99" t="str">
        <f t="shared" si="61"/>
        <v/>
      </c>
      <c r="BA84" s="98" t="str">
        <f t="shared" si="62"/>
        <v/>
      </c>
    </row>
    <row r="85" spans="1:53" ht="15" customHeight="1" x14ac:dyDescent="0.35">
      <c r="A85" s="113"/>
      <c r="B85" s="3"/>
      <c r="C85" s="50"/>
      <c r="D85" s="48"/>
      <c r="E85" s="50"/>
      <c r="F85" s="61"/>
      <c r="G85" s="48"/>
      <c r="H85" s="48"/>
      <c r="I85" s="48"/>
      <c r="J85" s="48"/>
      <c r="K85" s="48"/>
      <c r="L85" s="48"/>
      <c r="M85" s="81"/>
      <c r="N85" s="53"/>
      <c r="O85" s="53"/>
      <c r="P85" s="50"/>
      <c r="Q85" s="6"/>
      <c r="R85" s="70">
        <f t="shared" si="45"/>
        <v>0</v>
      </c>
      <c r="S85" s="76"/>
      <c r="T85" s="91"/>
      <c r="U85" s="41"/>
      <c r="V85" s="9"/>
      <c r="W85" s="27" t="str">
        <f t="shared" si="63"/>
        <v/>
      </c>
      <c r="X85" s="29" t="str">
        <f t="shared" si="42"/>
        <v/>
      </c>
      <c r="Y85" s="29" t="str">
        <f t="shared" si="64"/>
        <v/>
      </c>
      <c r="Z85" s="29" t="str">
        <f t="shared" si="64"/>
        <v/>
      </c>
      <c r="AA85" s="29" t="str">
        <f t="shared" si="64"/>
        <v/>
      </c>
      <c r="AB85" s="29" t="str">
        <f t="shared" si="64"/>
        <v/>
      </c>
      <c r="AC85" s="29" t="str">
        <f t="shared" si="64"/>
        <v/>
      </c>
      <c r="AD85" s="29" t="str">
        <f t="shared" si="64"/>
        <v/>
      </c>
      <c r="AE85" s="29" t="str">
        <f t="shared" si="64"/>
        <v/>
      </c>
      <c r="AF85" s="29" t="str">
        <f t="shared" si="64"/>
        <v/>
      </c>
      <c r="AG85" s="29" t="str">
        <f t="shared" si="64"/>
        <v/>
      </c>
      <c r="AH85" s="29" t="str">
        <f t="shared" si="64"/>
        <v/>
      </c>
      <c r="AI85" s="29" t="str">
        <f t="shared" si="64"/>
        <v/>
      </c>
      <c r="AJ85" s="30" t="str">
        <f t="shared" si="46"/>
        <v/>
      </c>
      <c r="AL85" s="36">
        <f t="shared" si="47"/>
        <v>0</v>
      </c>
      <c r="AM85" s="36">
        <f t="shared" si="48"/>
        <v>0</v>
      </c>
      <c r="AN85" s="99" t="str">
        <f t="shared" si="49"/>
        <v/>
      </c>
      <c r="AO85" s="99" t="str">
        <f t="shared" si="50"/>
        <v/>
      </c>
      <c r="AP85" s="99" t="str">
        <f t="shared" si="51"/>
        <v/>
      </c>
      <c r="AQ85" s="99" t="str">
        <f t="shared" si="52"/>
        <v/>
      </c>
      <c r="AR85" s="99" t="str">
        <f t="shared" si="53"/>
        <v/>
      </c>
      <c r="AS85" s="99" t="str">
        <f t="shared" si="54"/>
        <v/>
      </c>
      <c r="AT85" s="99" t="str">
        <f t="shared" si="55"/>
        <v/>
      </c>
      <c r="AU85" s="99" t="str">
        <f t="shared" si="56"/>
        <v/>
      </c>
      <c r="AV85" s="99" t="str">
        <f t="shared" si="57"/>
        <v/>
      </c>
      <c r="AW85" s="99" t="str">
        <f t="shared" si="58"/>
        <v/>
      </c>
      <c r="AX85" s="99" t="str">
        <f t="shared" si="59"/>
        <v/>
      </c>
      <c r="AY85" s="99" t="str">
        <f t="shared" si="60"/>
        <v/>
      </c>
      <c r="AZ85" s="99" t="str">
        <f t="shared" si="61"/>
        <v/>
      </c>
      <c r="BA85" s="98" t="str">
        <f t="shared" si="62"/>
        <v/>
      </c>
    </row>
    <row r="86" spans="1:53" ht="15" customHeight="1" x14ac:dyDescent="0.35">
      <c r="A86" s="113"/>
      <c r="B86" s="3"/>
      <c r="C86" s="50"/>
      <c r="D86" s="48"/>
      <c r="E86" s="50"/>
      <c r="F86" s="61"/>
      <c r="G86" s="48"/>
      <c r="H86" s="48"/>
      <c r="I86" s="48"/>
      <c r="J86" s="48"/>
      <c r="K86" s="48"/>
      <c r="L86" s="48"/>
      <c r="M86" s="81"/>
      <c r="N86" s="53"/>
      <c r="O86" s="53"/>
      <c r="P86" s="50"/>
      <c r="Q86" s="6"/>
      <c r="R86" s="70">
        <f t="shared" si="45"/>
        <v>0</v>
      </c>
      <c r="S86" s="76"/>
      <c r="T86" s="91"/>
      <c r="U86" s="41"/>
      <c r="V86" s="9"/>
      <c r="W86" s="27" t="str">
        <f t="shared" si="63"/>
        <v/>
      </c>
      <c r="X86" s="29" t="str">
        <f t="shared" si="42"/>
        <v/>
      </c>
      <c r="Y86" s="29" t="str">
        <f t="shared" si="64"/>
        <v/>
      </c>
      <c r="Z86" s="29" t="str">
        <f t="shared" si="64"/>
        <v/>
      </c>
      <c r="AA86" s="29" t="str">
        <f t="shared" si="64"/>
        <v/>
      </c>
      <c r="AB86" s="29" t="str">
        <f t="shared" si="64"/>
        <v/>
      </c>
      <c r="AC86" s="29" t="str">
        <f t="shared" si="64"/>
        <v/>
      </c>
      <c r="AD86" s="29" t="str">
        <f t="shared" si="64"/>
        <v/>
      </c>
      <c r="AE86" s="29" t="str">
        <f t="shared" si="64"/>
        <v/>
      </c>
      <c r="AF86" s="29" t="str">
        <f t="shared" si="64"/>
        <v/>
      </c>
      <c r="AG86" s="29" t="str">
        <f t="shared" si="64"/>
        <v/>
      </c>
      <c r="AH86" s="29" t="str">
        <f t="shared" si="64"/>
        <v/>
      </c>
      <c r="AI86" s="29" t="str">
        <f t="shared" si="64"/>
        <v/>
      </c>
      <c r="AJ86" s="30" t="str">
        <f t="shared" si="46"/>
        <v/>
      </c>
      <c r="AL86" s="36">
        <f t="shared" si="47"/>
        <v>0</v>
      </c>
      <c r="AM86" s="36">
        <f t="shared" si="48"/>
        <v>0</v>
      </c>
      <c r="AN86" s="99" t="str">
        <f t="shared" si="49"/>
        <v/>
      </c>
      <c r="AO86" s="99" t="str">
        <f t="shared" si="50"/>
        <v/>
      </c>
      <c r="AP86" s="99" t="str">
        <f t="shared" si="51"/>
        <v/>
      </c>
      <c r="AQ86" s="99" t="str">
        <f t="shared" si="52"/>
        <v/>
      </c>
      <c r="AR86" s="99" t="str">
        <f t="shared" si="53"/>
        <v/>
      </c>
      <c r="AS86" s="99" t="str">
        <f t="shared" si="54"/>
        <v/>
      </c>
      <c r="AT86" s="99" t="str">
        <f t="shared" si="55"/>
        <v/>
      </c>
      <c r="AU86" s="99" t="str">
        <f t="shared" si="56"/>
        <v/>
      </c>
      <c r="AV86" s="99" t="str">
        <f t="shared" si="57"/>
        <v/>
      </c>
      <c r="AW86" s="99" t="str">
        <f t="shared" si="58"/>
        <v/>
      </c>
      <c r="AX86" s="99" t="str">
        <f t="shared" si="59"/>
        <v/>
      </c>
      <c r="AY86" s="99" t="str">
        <f t="shared" si="60"/>
        <v/>
      </c>
      <c r="AZ86" s="99" t="str">
        <f t="shared" si="61"/>
        <v/>
      </c>
      <c r="BA86" s="98" t="str">
        <f t="shared" si="62"/>
        <v/>
      </c>
    </row>
    <row r="87" spans="1:53" ht="15" customHeight="1" x14ac:dyDescent="0.35">
      <c r="A87" s="113"/>
      <c r="B87" s="3"/>
      <c r="C87" s="50"/>
      <c r="D87" s="48"/>
      <c r="E87" s="50"/>
      <c r="F87" s="61"/>
      <c r="G87" s="48"/>
      <c r="H87" s="48"/>
      <c r="I87" s="48"/>
      <c r="J87" s="48"/>
      <c r="K87" s="48"/>
      <c r="L87" s="48"/>
      <c r="M87" s="81"/>
      <c r="N87" s="53"/>
      <c r="O87" s="53"/>
      <c r="P87" s="50"/>
      <c r="Q87" s="6"/>
      <c r="R87" s="70">
        <f t="shared" si="45"/>
        <v>0</v>
      </c>
      <c r="S87" s="76"/>
      <c r="T87" s="91"/>
      <c r="U87" s="41"/>
      <c r="V87" s="9"/>
      <c r="W87" s="27" t="str">
        <f t="shared" si="63"/>
        <v/>
      </c>
      <c r="X87" s="29" t="str">
        <f t="shared" si="42"/>
        <v/>
      </c>
      <c r="Y87" s="29" t="str">
        <f t="shared" si="64"/>
        <v/>
      </c>
      <c r="Z87" s="29" t="str">
        <f t="shared" si="64"/>
        <v/>
      </c>
      <c r="AA87" s="29" t="str">
        <f t="shared" si="64"/>
        <v/>
      </c>
      <c r="AB87" s="29" t="str">
        <f t="shared" si="64"/>
        <v/>
      </c>
      <c r="AC87" s="29" t="str">
        <f t="shared" si="64"/>
        <v/>
      </c>
      <c r="AD87" s="29" t="str">
        <f t="shared" si="64"/>
        <v/>
      </c>
      <c r="AE87" s="29" t="str">
        <f t="shared" si="64"/>
        <v/>
      </c>
      <c r="AF87" s="29" t="str">
        <f t="shared" si="64"/>
        <v/>
      </c>
      <c r="AG87" s="29" t="str">
        <f t="shared" si="64"/>
        <v/>
      </c>
      <c r="AH87" s="29" t="str">
        <f t="shared" si="64"/>
        <v/>
      </c>
      <c r="AI87" s="29" t="str">
        <f t="shared" si="64"/>
        <v/>
      </c>
      <c r="AJ87" s="30" t="str">
        <f t="shared" si="46"/>
        <v/>
      </c>
      <c r="AL87" s="36">
        <f t="shared" si="47"/>
        <v>0</v>
      </c>
      <c r="AM87" s="36">
        <f t="shared" si="48"/>
        <v>0</v>
      </c>
      <c r="AN87" s="99" t="str">
        <f t="shared" si="49"/>
        <v/>
      </c>
      <c r="AO87" s="99" t="str">
        <f t="shared" si="50"/>
        <v/>
      </c>
      <c r="AP87" s="99" t="str">
        <f t="shared" si="51"/>
        <v/>
      </c>
      <c r="AQ87" s="99" t="str">
        <f t="shared" si="52"/>
        <v/>
      </c>
      <c r="AR87" s="99" t="str">
        <f t="shared" si="53"/>
        <v/>
      </c>
      <c r="AS87" s="99" t="str">
        <f t="shared" si="54"/>
        <v/>
      </c>
      <c r="AT87" s="99" t="str">
        <f t="shared" si="55"/>
        <v/>
      </c>
      <c r="AU87" s="99" t="str">
        <f t="shared" si="56"/>
        <v/>
      </c>
      <c r="AV87" s="99" t="str">
        <f t="shared" si="57"/>
        <v/>
      </c>
      <c r="AW87" s="99" t="str">
        <f t="shared" si="58"/>
        <v/>
      </c>
      <c r="AX87" s="99" t="str">
        <f t="shared" si="59"/>
        <v/>
      </c>
      <c r="AY87" s="99" t="str">
        <f t="shared" si="60"/>
        <v/>
      </c>
      <c r="AZ87" s="99" t="str">
        <f t="shared" si="61"/>
        <v/>
      </c>
      <c r="BA87" s="98" t="str">
        <f t="shared" si="62"/>
        <v/>
      </c>
    </row>
    <row r="88" spans="1:53" ht="15" customHeight="1" thickBot="1" x14ac:dyDescent="0.4">
      <c r="A88" s="114"/>
      <c r="B88" s="4"/>
      <c r="C88" s="58"/>
      <c r="D88" s="49"/>
      <c r="E88" s="58"/>
      <c r="F88" s="62"/>
      <c r="G88" s="49"/>
      <c r="H88" s="49"/>
      <c r="I88" s="49"/>
      <c r="J88" s="49"/>
      <c r="K88" s="49"/>
      <c r="L88" s="49"/>
      <c r="M88" s="82"/>
      <c r="N88" s="54"/>
      <c r="O88" s="54"/>
      <c r="P88" s="58"/>
      <c r="Q88" s="7"/>
      <c r="R88" s="103">
        <f t="shared" si="45"/>
        <v>0</v>
      </c>
      <c r="S88" s="77"/>
      <c r="T88" s="92"/>
      <c r="U88" s="42"/>
      <c r="V88" s="9"/>
      <c r="W88" s="27" t="str">
        <f t="shared" si="63"/>
        <v/>
      </c>
      <c r="X88" s="29" t="str">
        <f t="shared" si="42"/>
        <v/>
      </c>
      <c r="Y88" s="29" t="str">
        <f t="shared" si="64"/>
        <v/>
      </c>
      <c r="Z88" s="29" t="str">
        <f t="shared" si="64"/>
        <v/>
      </c>
      <c r="AA88" s="29" t="str">
        <f t="shared" si="64"/>
        <v/>
      </c>
      <c r="AB88" s="29" t="str">
        <f t="shared" si="64"/>
        <v/>
      </c>
      <c r="AC88" s="29" t="str">
        <f t="shared" si="64"/>
        <v/>
      </c>
      <c r="AD88" s="29" t="str">
        <f t="shared" si="64"/>
        <v/>
      </c>
      <c r="AE88" s="29" t="str">
        <f t="shared" si="64"/>
        <v/>
      </c>
      <c r="AF88" s="29" t="str">
        <f t="shared" si="64"/>
        <v/>
      </c>
      <c r="AG88" s="29" t="str">
        <f t="shared" si="64"/>
        <v/>
      </c>
      <c r="AH88" s="29" t="str">
        <f t="shared" si="64"/>
        <v/>
      </c>
      <c r="AI88" s="29" t="str">
        <f t="shared" si="64"/>
        <v/>
      </c>
      <c r="AJ88" s="30" t="str">
        <f t="shared" si="46"/>
        <v/>
      </c>
      <c r="AL88" s="36">
        <f t="shared" si="47"/>
        <v>0</v>
      </c>
      <c r="AM88" s="36">
        <f t="shared" si="48"/>
        <v>0</v>
      </c>
      <c r="AN88" s="99" t="str">
        <f t="shared" si="49"/>
        <v/>
      </c>
      <c r="AO88" s="99" t="str">
        <f t="shared" si="50"/>
        <v/>
      </c>
      <c r="AP88" s="99" t="str">
        <f t="shared" si="51"/>
        <v/>
      </c>
      <c r="AQ88" s="99" t="str">
        <f t="shared" si="52"/>
        <v/>
      </c>
      <c r="AR88" s="99" t="str">
        <f t="shared" si="53"/>
        <v/>
      </c>
      <c r="AS88" s="99" t="str">
        <f t="shared" si="54"/>
        <v/>
      </c>
      <c r="AT88" s="99" t="str">
        <f t="shared" si="55"/>
        <v/>
      </c>
      <c r="AU88" s="99" t="str">
        <f t="shared" si="56"/>
        <v/>
      </c>
      <c r="AV88" s="99" t="str">
        <f t="shared" si="57"/>
        <v/>
      </c>
      <c r="AW88" s="99" t="str">
        <f t="shared" si="58"/>
        <v/>
      </c>
      <c r="AX88" s="99" t="str">
        <f t="shared" si="59"/>
        <v/>
      </c>
      <c r="AY88" s="99" t="str">
        <f t="shared" si="60"/>
        <v/>
      </c>
      <c r="AZ88" s="99" t="str">
        <f t="shared" si="61"/>
        <v/>
      </c>
      <c r="BA88" s="98" t="str">
        <f t="shared" si="62"/>
        <v/>
      </c>
    </row>
    <row r="89" spans="1:53" ht="15" customHeight="1" x14ac:dyDescent="0.35">
      <c r="A89" s="112">
        <v>15</v>
      </c>
      <c r="B89" s="5"/>
      <c r="C89" s="69"/>
      <c r="D89" s="60"/>
      <c r="E89" s="69"/>
      <c r="F89" s="59"/>
      <c r="G89" s="60"/>
      <c r="H89" s="60"/>
      <c r="I89" s="60"/>
      <c r="J89" s="60"/>
      <c r="K89" s="60"/>
      <c r="L89" s="60"/>
      <c r="M89" s="80"/>
      <c r="N89" s="79"/>
      <c r="O89" s="79"/>
      <c r="P89" s="69"/>
      <c r="Q89" s="8"/>
      <c r="R89" s="70">
        <f t="shared" si="45"/>
        <v>0</v>
      </c>
      <c r="S89" s="76"/>
      <c r="T89" s="90"/>
      <c r="U89" s="40"/>
      <c r="V89" s="9"/>
      <c r="W89" s="27" t="str">
        <f t="shared" si="63"/>
        <v/>
      </c>
      <c r="X89" s="29" t="str">
        <f t="shared" si="42"/>
        <v/>
      </c>
      <c r="Y89" s="29" t="str">
        <f t="shared" ref="Y89:AI98" si="65">IF(AND(Y$3&lt;&gt;"",$W89&lt;&gt;""),ROUND(2*($R89*(COUNT($X$3:$AI$3)+1)-$W89)*Y$3,0)/2,"")</f>
        <v/>
      </c>
      <c r="Z89" s="29" t="str">
        <f t="shared" si="65"/>
        <v/>
      </c>
      <c r="AA89" s="29" t="str">
        <f t="shared" si="65"/>
        <v/>
      </c>
      <c r="AB89" s="29" t="str">
        <f t="shared" si="65"/>
        <v/>
      </c>
      <c r="AC89" s="29" t="str">
        <f t="shared" si="65"/>
        <v/>
      </c>
      <c r="AD89" s="29" t="str">
        <f t="shared" si="65"/>
        <v/>
      </c>
      <c r="AE89" s="29" t="str">
        <f t="shared" si="65"/>
        <v/>
      </c>
      <c r="AF89" s="29" t="str">
        <f t="shared" si="65"/>
        <v/>
      </c>
      <c r="AG89" s="29" t="str">
        <f t="shared" si="65"/>
        <v/>
      </c>
      <c r="AH89" s="29" t="str">
        <f t="shared" si="65"/>
        <v/>
      </c>
      <c r="AI89" s="29" t="str">
        <f t="shared" si="65"/>
        <v/>
      </c>
      <c r="AJ89" s="30" t="str">
        <f t="shared" si="46"/>
        <v/>
      </c>
      <c r="AL89" s="36">
        <f t="shared" si="47"/>
        <v>0</v>
      </c>
      <c r="AM89" s="36">
        <f t="shared" si="48"/>
        <v>0</v>
      </c>
      <c r="AN89" s="99" t="str">
        <f t="shared" si="49"/>
        <v/>
      </c>
      <c r="AO89" s="99" t="str">
        <f t="shared" si="50"/>
        <v/>
      </c>
      <c r="AP89" s="99" t="str">
        <f t="shared" si="51"/>
        <v/>
      </c>
      <c r="AQ89" s="99" t="str">
        <f t="shared" si="52"/>
        <v/>
      </c>
      <c r="AR89" s="99" t="str">
        <f t="shared" si="53"/>
        <v/>
      </c>
      <c r="AS89" s="99" t="str">
        <f t="shared" si="54"/>
        <v/>
      </c>
      <c r="AT89" s="99" t="str">
        <f t="shared" si="55"/>
        <v/>
      </c>
      <c r="AU89" s="99" t="str">
        <f t="shared" si="56"/>
        <v/>
      </c>
      <c r="AV89" s="99" t="str">
        <f t="shared" si="57"/>
        <v/>
      </c>
      <c r="AW89" s="99" t="str">
        <f t="shared" si="58"/>
        <v/>
      </c>
      <c r="AX89" s="99" t="str">
        <f t="shared" si="59"/>
        <v/>
      </c>
      <c r="AY89" s="99" t="str">
        <f t="shared" si="60"/>
        <v/>
      </c>
      <c r="AZ89" s="99" t="str">
        <f t="shared" si="61"/>
        <v/>
      </c>
      <c r="BA89" s="98" t="str">
        <f t="shared" si="62"/>
        <v/>
      </c>
    </row>
    <row r="90" spans="1:53" ht="15" customHeight="1" x14ac:dyDescent="0.35">
      <c r="A90" s="113"/>
      <c r="B90" s="3"/>
      <c r="C90" s="50"/>
      <c r="D90" s="48"/>
      <c r="E90" s="50"/>
      <c r="F90" s="61"/>
      <c r="G90" s="48"/>
      <c r="H90" s="48"/>
      <c r="I90" s="48"/>
      <c r="J90" s="48"/>
      <c r="K90" s="48"/>
      <c r="L90" s="48"/>
      <c r="M90" s="81"/>
      <c r="N90" s="53"/>
      <c r="O90" s="53"/>
      <c r="P90" s="50"/>
      <c r="Q90" s="6"/>
      <c r="R90" s="70">
        <f t="shared" si="45"/>
        <v>0</v>
      </c>
      <c r="S90" s="76"/>
      <c r="T90" s="91"/>
      <c r="U90" s="41"/>
      <c r="V90" s="9"/>
      <c r="W90" s="27" t="str">
        <f t="shared" si="63"/>
        <v/>
      </c>
      <c r="X90" s="29" t="str">
        <f t="shared" ref="X90:X108" si="66">IF(AND(X$3&lt;&gt;"",$W90&lt;&gt;""),ROUND(2*($R90*(COUNT($X$3:$AI$3)+1)-$W90)*X$3,0)/2,"")</f>
        <v/>
      </c>
      <c r="Y90" s="29" t="str">
        <f t="shared" si="65"/>
        <v/>
      </c>
      <c r="Z90" s="29" t="str">
        <f t="shared" si="65"/>
        <v/>
      </c>
      <c r="AA90" s="29" t="str">
        <f t="shared" si="65"/>
        <v/>
      </c>
      <c r="AB90" s="29" t="str">
        <f t="shared" si="65"/>
        <v/>
      </c>
      <c r="AC90" s="29" t="str">
        <f t="shared" si="65"/>
        <v/>
      </c>
      <c r="AD90" s="29" t="str">
        <f t="shared" si="65"/>
        <v/>
      </c>
      <c r="AE90" s="29" t="str">
        <f t="shared" si="65"/>
        <v/>
      </c>
      <c r="AF90" s="29" t="str">
        <f t="shared" si="65"/>
        <v/>
      </c>
      <c r="AG90" s="29" t="str">
        <f t="shared" si="65"/>
        <v/>
      </c>
      <c r="AH90" s="29" t="str">
        <f t="shared" si="65"/>
        <v/>
      </c>
      <c r="AI90" s="29" t="str">
        <f t="shared" si="65"/>
        <v/>
      </c>
      <c r="AJ90" s="30" t="str">
        <f t="shared" si="46"/>
        <v/>
      </c>
      <c r="AL90" s="36">
        <f t="shared" si="47"/>
        <v>0</v>
      </c>
      <c r="AM90" s="36">
        <f t="shared" si="48"/>
        <v>0</v>
      </c>
      <c r="AN90" s="99" t="str">
        <f t="shared" si="49"/>
        <v/>
      </c>
      <c r="AO90" s="99" t="str">
        <f t="shared" si="50"/>
        <v/>
      </c>
      <c r="AP90" s="99" t="str">
        <f t="shared" si="51"/>
        <v/>
      </c>
      <c r="AQ90" s="99" t="str">
        <f t="shared" si="52"/>
        <v/>
      </c>
      <c r="AR90" s="99" t="str">
        <f t="shared" si="53"/>
        <v/>
      </c>
      <c r="AS90" s="99" t="str">
        <f t="shared" si="54"/>
        <v/>
      </c>
      <c r="AT90" s="99" t="str">
        <f t="shared" si="55"/>
        <v/>
      </c>
      <c r="AU90" s="99" t="str">
        <f t="shared" si="56"/>
        <v/>
      </c>
      <c r="AV90" s="99" t="str">
        <f t="shared" si="57"/>
        <v/>
      </c>
      <c r="AW90" s="99" t="str">
        <f t="shared" si="58"/>
        <v/>
      </c>
      <c r="AX90" s="99" t="str">
        <f t="shared" si="59"/>
        <v/>
      </c>
      <c r="AY90" s="99" t="str">
        <f t="shared" si="60"/>
        <v/>
      </c>
      <c r="AZ90" s="99" t="str">
        <f t="shared" si="61"/>
        <v/>
      </c>
      <c r="BA90" s="98" t="str">
        <f t="shared" si="62"/>
        <v/>
      </c>
    </row>
    <row r="91" spans="1:53" ht="15" customHeight="1" x14ac:dyDescent="0.35">
      <c r="A91" s="113"/>
      <c r="B91" s="3"/>
      <c r="C91" s="50"/>
      <c r="D91" s="48"/>
      <c r="E91" s="50"/>
      <c r="F91" s="61"/>
      <c r="G91" s="48"/>
      <c r="H91" s="48"/>
      <c r="I91" s="48"/>
      <c r="J91" s="48"/>
      <c r="K91" s="48"/>
      <c r="L91" s="48"/>
      <c r="M91" s="81"/>
      <c r="N91" s="53"/>
      <c r="O91" s="53"/>
      <c r="P91" s="50"/>
      <c r="Q91" s="6"/>
      <c r="R91" s="70">
        <f t="shared" si="45"/>
        <v>0</v>
      </c>
      <c r="S91" s="76"/>
      <c r="T91" s="91"/>
      <c r="U91" s="41"/>
      <c r="V91" s="9"/>
      <c r="W91" s="27" t="str">
        <f t="shared" si="63"/>
        <v/>
      </c>
      <c r="X91" s="29" t="str">
        <f t="shared" si="66"/>
        <v/>
      </c>
      <c r="Y91" s="29" t="str">
        <f t="shared" si="65"/>
        <v/>
      </c>
      <c r="Z91" s="29" t="str">
        <f t="shared" si="65"/>
        <v/>
      </c>
      <c r="AA91" s="29" t="str">
        <f t="shared" si="65"/>
        <v/>
      </c>
      <c r="AB91" s="29" t="str">
        <f t="shared" si="65"/>
        <v/>
      </c>
      <c r="AC91" s="29" t="str">
        <f t="shared" si="65"/>
        <v/>
      </c>
      <c r="AD91" s="29" t="str">
        <f t="shared" si="65"/>
        <v/>
      </c>
      <c r="AE91" s="29" t="str">
        <f t="shared" si="65"/>
        <v/>
      </c>
      <c r="AF91" s="29" t="str">
        <f t="shared" si="65"/>
        <v/>
      </c>
      <c r="AG91" s="29" t="str">
        <f t="shared" si="65"/>
        <v/>
      </c>
      <c r="AH91" s="29" t="str">
        <f t="shared" si="65"/>
        <v/>
      </c>
      <c r="AI91" s="29" t="str">
        <f t="shared" si="65"/>
        <v/>
      </c>
      <c r="AJ91" s="30" t="str">
        <f t="shared" si="46"/>
        <v/>
      </c>
      <c r="AL91" s="36">
        <f t="shared" si="47"/>
        <v>0</v>
      </c>
      <c r="AM91" s="36">
        <f t="shared" si="48"/>
        <v>0</v>
      </c>
      <c r="AN91" s="99" t="str">
        <f t="shared" si="49"/>
        <v/>
      </c>
      <c r="AO91" s="99" t="str">
        <f t="shared" si="50"/>
        <v/>
      </c>
      <c r="AP91" s="99" t="str">
        <f t="shared" si="51"/>
        <v/>
      </c>
      <c r="AQ91" s="99" t="str">
        <f t="shared" si="52"/>
        <v/>
      </c>
      <c r="AR91" s="99" t="str">
        <f t="shared" si="53"/>
        <v/>
      </c>
      <c r="AS91" s="99" t="str">
        <f t="shared" si="54"/>
        <v/>
      </c>
      <c r="AT91" s="99" t="str">
        <f t="shared" si="55"/>
        <v/>
      </c>
      <c r="AU91" s="99" t="str">
        <f t="shared" si="56"/>
        <v/>
      </c>
      <c r="AV91" s="99" t="str">
        <f t="shared" si="57"/>
        <v/>
      </c>
      <c r="AW91" s="99" t="str">
        <f t="shared" si="58"/>
        <v/>
      </c>
      <c r="AX91" s="99" t="str">
        <f t="shared" si="59"/>
        <v/>
      </c>
      <c r="AY91" s="99" t="str">
        <f t="shared" si="60"/>
        <v/>
      </c>
      <c r="AZ91" s="99" t="str">
        <f t="shared" si="61"/>
        <v/>
      </c>
      <c r="BA91" s="98" t="str">
        <f t="shared" si="62"/>
        <v/>
      </c>
    </row>
    <row r="92" spans="1:53" ht="15" customHeight="1" x14ac:dyDescent="0.35">
      <c r="A92" s="113"/>
      <c r="B92" s="3"/>
      <c r="C92" s="50"/>
      <c r="D92" s="48"/>
      <c r="E92" s="50"/>
      <c r="F92" s="61"/>
      <c r="G92" s="48"/>
      <c r="H92" s="48"/>
      <c r="I92" s="48"/>
      <c r="J92" s="48"/>
      <c r="K92" s="48"/>
      <c r="L92" s="48"/>
      <c r="M92" s="81"/>
      <c r="N92" s="53"/>
      <c r="O92" s="53"/>
      <c r="P92" s="50"/>
      <c r="Q92" s="6"/>
      <c r="R92" s="70">
        <f t="shared" si="45"/>
        <v>0</v>
      </c>
      <c r="S92" s="76"/>
      <c r="T92" s="91"/>
      <c r="U92" s="41"/>
      <c r="V92" s="9"/>
      <c r="W92" s="27" t="str">
        <f t="shared" si="63"/>
        <v/>
      </c>
      <c r="X92" s="29" t="str">
        <f t="shared" si="66"/>
        <v/>
      </c>
      <c r="Y92" s="29" t="str">
        <f t="shared" si="65"/>
        <v/>
      </c>
      <c r="Z92" s="29" t="str">
        <f t="shared" si="65"/>
        <v/>
      </c>
      <c r="AA92" s="29" t="str">
        <f t="shared" si="65"/>
        <v/>
      </c>
      <c r="AB92" s="29" t="str">
        <f t="shared" si="65"/>
        <v/>
      </c>
      <c r="AC92" s="29" t="str">
        <f t="shared" si="65"/>
        <v/>
      </c>
      <c r="AD92" s="29" t="str">
        <f t="shared" si="65"/>
        <v/>
      </c>
      <c r="AE92" s="29" t="str">
        <f t="shared" si="65"/>
        <v/>
      </c>
      <c r="AF92" s="29" t="str">
        <f t="shared" si="65"/>
        <v/>
      </c>
      <c r="AG92" s="29" t="str">
        <f t="shared" si="65"/>
        <v/>
      </c>
      <c r="AH92" s="29" t="str">
        <f t="shared" si="65"/>
        <v/>
      </c>
      <c r="AI92" s="29" t="str">
        <f t="shared" si="65"/>
        <v/>
      </c>
      <c r="AJ92" s="30" t="str">
        <f t="shared" si="46"/>
        <v/>
      </c>
      <c r="AL92" s="36">
        <f t="shared" si="47"/>
        <v>0</v>
      </c>
      <c r="AM92" s="36">
        <f t="shared" si="48"/>
        <v>0</v>
      </c>
      <c r="AN92" s="99" t="str">
        <f t="shared" si="49"/>
        <v/>
      </c>
      <c r="AO92" s="99" t="str">
        <f t="shared" si="50"/>
        <v/>
      </c>
      <c r="AP92" s="99" t="str">
        <f t="shared" si="51"/>
        <v/>
      </c>
      <c r="AQ92" s="99" t="str">
        <f t="shared" si="52"/>
        <v/>
      </c>
      <c r="AR92" s="99" t="str">
        <f t="shared" si="53"/>
        <v/>
      </c>
      <c r="AS92" s="99" t="str">
        <f t="shared" si="54"/>
        <v/>
      </c>
      <c r="AT92" s="99" t="str">
        <f t="shared" si="55"/>
        <v/>
      </c>
      <c r="AU92" s="99" t="str">
        <f t="shared" si="56"/>
        <v/>
      </c>
      <c r="AV92" s="99" t="str">
        <f t="shared" si="57"/>
        <v/>
      </c>
      <c r="AW92" s="99" t="str">
        <f t="shared" si="58"/>
        <v/>
      </c>
      <c r="AX92" s="99" t="str">
        <f t="shared" si="59"/>
        <v/>
      </c>
      <c r="AY92" s="99" t="str">
        <f t="shared" si="60"/>
        <v/>
      </c>
      <c r="AZ92" s="99" t="str">
        <f t="shared" si="61"/>
        <v/>
      </c>
      <c r="BA92" s="98" t="str">
        <f t="shared" si="62"/>
        <v/>
      </c>
    </row>
    <row r="93" spans="1:53" ht="15" customHeight="1" x14ac:dyDescent="0.35">
      <c r="A93" s="113"/>
      <c r="B93" s="3"/>
      <c r="C93" s="50"/>
      <c r="D93" s="48"/>
      <c r="E93" s="50"/>
      <c r="F93" s="61"/>
      <c r="G93" s="48"/>
      <c r="H93" s="48"/>
      <c r="I93" s="48"/>
      <c r="J93" s="48"/>
      <c r="K93" s="48"/>
      <c r="L93" s="48"/>
      <c r="M93" s="81"/>
      <c r="N93" s="53"/>
      <c r="O93" s="53"/>
      <c r="P93" s="50"/>
      <c r="Q93" s="6"/>
      <c r="R93" s="70">
        <f t="shared" si="45"/>
        <v>0</v>
      </c>
      <c r="S93" s="76"/>
      <c r="T93" s="91"/>
      <c r="U93" s="41"/>
      <c r="V93" s="9"/>
      <c r="W93" s="27" t="str">
        <f t="shared" si="63"/>
        <v/>
      </c>
      <c r="X93" s="29" t="str">
        <f t="shared" si="66"/>
        <v/>
      </c>
      <c r="Y93" s="29" t="str">
        <f t="shared" si="65"/>
        <v/>
      </c>
      <c r="Z93" s="29" t="str">
        <f t="shared" si="65"/>
        <v/>
      </c>
      <c r="AA93" s="29" t="str">
        <f t="shared" si="65"/>
        <v/>
      </c>
      <c r="AB93" s="29" t="str">
        <f t="shared" si="65"/>
        <v/>
      </c>
      <c r="AC93" s="29" t="str">
        <f t="shared" si="65"/>
        <v/>
      </c>
      <c r="AD93" s="29" t="str">
        <f t="shared" si="65"/>
        <v/>
      </c>
      <c r="AE93" s="29" t="str">
        <f t="shared" si="65"/>
        <v/>
      </c>
      <c r="AF93" s="29" t="str">
        <f t="shared" si="65"/>
        <v/>
      </c>
      <c r="AG93" s="29" t="str">
        <f t="shared" si="65"/>
        <v/>
      </c>
      <c r="AH93" s="29" t="str">
        <f t="shared" si="65"/>
        <v/>
      </c>
      <c r="AI93" s="29" t="str">
        <f t="shared" si="65"/>
        <v/>
      </c>
      <c r="AJ93" s="30" t="str">
        <f t="shared" si="46"/>
        <v/>
      </c>
      <c r="AL93" s="36">
        <f t="shared" si="47"/>
        <v>0</v>
      </c>
      <c r="AM93" s="36">
        <f t="shared" si="48"/>
        <v>0</v>
      </c>
      <c r="AN93" s="99" t="str">
        <f t="shared" si="49"/>
        <v/>
      </c>
      <c r="AO93" s="99" t="str">
        <f t="shared" si="50"/>
        <v/>
      </c>
      <c r="AP93" s="99" t="str">
        <f t="shared" si="51"/>
        <v/>
      </c>
      <c r="AQ93" s="99" t="str">
        <f t="shared" si="52"/>
        <v/>
      </c>
      <c r="AR93" s="99" t="str">
        <f t="shared" si="53"/>
        <v/>
      </c>
      <c r="AS93" s="99" t="str">
        <f t="shared" si="54"/>
        <v/>
      </c>
      <c r="AT93" s="99" t="str">
        <f t="shared" si="55"/>
        <v/>
      </c>
      <c r="AU93" s="99" t="str">
        <f t="shared" si="56"/>
        <v/>
      </c>
      <c r="AV93" s="99" t="str">
        <f t="shared" si="57"/>
        <v/>
      </c>
      <c r="AW93" s="99" t="str">
        <f t="shared" si="58"/>
        <v/>
      </c>
      <c r="AX93" s="99" t="str">
        <f t="shared" si="59"/>
        <v/>
      </c>
      <c r="AY93" s="99" t="str">
        <f t="shared" si="60"/>
        <v/>
      </c>
      <c r="AZ93" s="99" t="str">
        <f t="shared" si="61"/>
        <v/>
      </c>
      <c r="BA93" s="98" t="str">
        <f t="shared" si="62"/>
        <v/>
      </c>
    </row>
    <row r="94" spans="1:53" ht="15" customHeight="1" thickBot="1" x14ac:dyDescent="0.4">
      <c r="A94" s="114"/>
      <c r="B94" s="4"/>
      <c r="C94" s="58"/>
      <c r="D94" s="49"/>
      <c r="E94" s="58"/>
      <c r="F94" s="62"/>
      <c r="G94" s="49"/>
      <c r="H94" s="49"/>
      <c r="I94" s="49"/>
      <c r="J94" s="49"/>
      <c r="K94" s="49"/>
      <c r="L94" s="49"/>
      <c r="M94" s="82"/>
      <c r="N94" s="54"/>
      <c r="O94" s="54"/>
      <c r="P94" s="58"/>
      <c r="Q94" s="7"/>
      <c r="R94" s="101">
        <f t="shared" si="45"/>
        <v>0</v>
      </c>
      <c r="S94" s="77"/>
      <c r="T94" s="92"/>
      <c r="U94" s="42"/>
      <c r="V94" s="9"/>
      <c r="W94" s="27" t="str">
        <f t="shared" si="63"/>
        <v/>
      </c>
      <c r="X94" s="29" t="str">
        <f t="shared" si="66"/>
        <v/>
      </c>
      <c r="Y94" s="29" t="str">
        <f t="shared" si="65"/>
        <v/>
      </c>
      <c r="Z94" s="29" t="str">
        <f t="shared" si="65"/>
        <v/>
      </c>
      <c r="AA94" s="29" t="str">
        <f t="shared" si="65"/>
        <v/>
      </c>
      <c r="AB94" s="29" t="str">
        <f t="shared" si="65"/>
        <v/>
      </c>
      <c r="AC94" s="29" t="str">
        <f t="shared" si="65"/>
        <v/>
      </c>
      <c r="AD94" s="29" t="str">
        <f t="shared" si="65"/>
        <v/>
      </c>
      <c r="AE94" s="29" t="str">
        <f t="shared" si="65"/>
        <v/>
      </c>
      <c r="AF94" s="29" t="str">
        <f t="shared" si="65"/>
        <v/>
      </c>
      <c r="AG94" s="29" t="str">
        <f t="shared" si="65"/>
        <v/>
      </c>
      <c r="AH94" s="29" t="str">
        <f t="shared" si="65"/>
        <v/>
      </c>
      <c r="AI94" s="29" t="str">
        <f t="shared" si="65"/>
        <v/>
      </c>
      <c r="AJ94" s="30" t="str">
        <f t="shared" si="46"/>
        <v/>
      </c>
      <c r="AL94" s="36">
        <f t="shared" si="47"/>
        <v>0</v>
      </c>
      <c r="AM94" s="36">
        <f t="shared" si="48"/>
        <v>0</v>
      </c>
      <c r="AN94" s="99" t="str">
        <f t="shared" si="49"/>
        <v/>
      </c>
      <c r="AO94" s="99" t="str">
        <f t="shared" si="50"/>
        <v/>
      </c>
      <c r="AP94" s="99" t="str">
        <f t="shared" si="51"/>
        <v/>
      </c>
      <c r="AQ94" s="99" t="str">
        <f t="shared" si="52"/>
        <v/>
      </c>
      <c r="AR94" s="99" t="str">
        <f t="shared" si="53"/>
        <v/>
      </c>
      <c r="AS94" s="99" t="str">
        <f t="shared" si="54"/>
        <v/>
      </c>
      <c r="AT94" s="99" t="str">
        <f t="shared" si="55"/>
        <v/>
      </c>
      <c r="AU94" s="99" t="str">
        <f t="shared" si="56"/>
        <v/>
      </c>
      <c r="AV94" s="99" t="str">
        <f t="shared" si="57"/>
        <v/>
      </c>
      <c r="AW94" s="99" t="str">
        <f t="shared" si="58"/>
        <v/>
      </c>
      <c r="AX94" s="99" t="str">
        <f t="shared" si="59"/>
        <v/>
      </c>
      <c r="AY94" s="99" t="str">
        <f t="shared" si="60"/>
        <v/>
      </c>
      <c r="AZ94" s="99" t="str">
        <f t="shared" si="61"/>
        <v/>
      </c>
      <c r="BA94" s="98" t="str">
        <f t="shared" si="62"/>
        <v/>
      </c>
    </row>
    <row r="95" spans="1:53" ht="15" customHeight="1" x14ac:dyDescent="0.35">
      <c r="A95" s="112">
        <v>16</v>
      </c>
      <c r="B95" s="5"/>
      <c r="C95" s="69"/>
      <c r="D95" s="60"/>
      <c r="E95" s="69"/>
      <c r="F95" s="59"/>
      <c r="G95" s="60"/>
      <c r="H95" s="60"/>
      <c r="I95" s="60"/>
      <c r="J95" s="60"/>
      <c r="K95" s="60"/>
      <c r="L95" s="60"/>
      <c r="M95" s="80"/>
      <c r="N95" s="79"/>
      <c r="O95" s="79"/>
      <c r="P95" s="69"/>
      <c r="Q95" s="8"/>
      <c r="R95" s="102">
        <f t="shared" si="45"/>
        <v>0</v>
      </c>
      <c r="S95" s="76"/>
      <c r="T95" s="90"/>
      <c r="U95" s="40"/>
      <c r="V95" s="9"/>
      <c r="W95" s="27" t="str">
        <f t="shared" si="63"/>
        <v/>
      </c>
      <c r="X95" s="29" t="str">
        <f t="shared" si="66"/>
        <v/>
      </c>
      <c r="Y95" s="29" t="str">
        <f t="shared" si="65"/>
        <v/>
      </c>
      <c r="Z95" s="29" t="str">
        <f t="shared" si="65"/>
        <v/>
      </c>
      <c r="AA95" s="29" t="str">
        <f t="shared" si="65"/>
        <v/>
      </c>
      <c r="AB95" s="29" t="str">
        <f t="shared" si="65"/>
        <v/>
      </c>
      <c r="AC95" s="29" t="str">
        <f t="shared" si="65"/>
        <v/>
      </c>
      <c r="AD95" s="29" t="str">
        <f t="shared" si="65"/>
        <v/>
      </c>
      <c r="AE95" s="29" t="str">
        <f t="shared" si="65"/>
        <v/>
      </c>
      <c r="AF95" s="29" t="str">
        <f t="shared" si="65"/>
        <v/>
      </c>
      <c r="AG95" s="29" t="str">
        <f t="shared" si="65"/>
        <v/>
      </c>
      <c r="AH95" s="29" t="str">
        <f t="shared" si="65"/>
        <v/>
      </c>
      <c r="AI95" s="29" t="str">
        <f t="shared" si="65"/>
        <v/>
      </c>
      <c r="AJ95" s="30" t="str">
        <f t="shared" si="46"/>
        <v/>
      </c>
      <c r="AL95" s="36">
        <f t="shared" si="47"/>
        <v>0</v>
      </c>
      <c r="AM95" s="36">
        <f t="shared" si="48"/>
        <v>0</v>
      </c>
      <c r="AN95" s="99" t="str">
        <f t="shared" si="49"/>
        <v/>
      </c>
      <c r="AO95" s="99" t="str">
        <f t="shared" si="50"/>
        <v/>
      </c>
      <c r="AP95" s="99" t="str">
        <f t="shared" si="51"/>
        <v/>
      </c>
      <c r="AQ95" s="99" t="str">
        <f t="shared" si="52"/>
        <v/>
      </c>
      <c r="AR95" s="99" t="str">
        <f t="shared" si="53"/>
        <v/>
      </c>
      <c r="AS95" s="99" t="str">
        <f t="shared" si="54"/>
        <v/>
      </c>
      <c r="AT95" s="99" t="str">
        <f t="shared" si="55"/>
        <v/>
      </c>
      <c r="AU95" s="99" t="str">
        <f t="shared" si="56"/>
        <v/>
      </c>
      <c r="AV95" s="99" t="str">
        <f t="shared" si="57"/>
        <v/>
      </c>
      <c r="AW95" s="99" t="str">
        <f t="shared" si="58"/>
        <v/>
      </c>
      <c r="AX95" s="99" t="str">
        <f t="shared" si="59"/>
        <v/>
      </c>
      <c r="AY95" s="99" t="str">
        <f t="shared" si="60"/>
        <v/>
      </c>
      <c r="AZ95" s="99" t="str">
        <f t="shared" si="61"/>
        <v/>
      </c>
      <c r="BA95" s="98" t="str">
        <f t="shared" si="62"/>
        <v/>
      </c>
    </row>
    <row r="96" spans="1:53" ht="15" customHeight="1" x14ac:dyDescent="0.35">
      <c r="A96" s="113"/>
      <c r="B96" s="3"/>
      <c r="C96" s="50"/>
      <c r="D96" s="48"/>
      <c r="E96" s="50"/>
      <c r="F96" s="61"/>
      <c r="G96" s="48"/>
      <c r="H96" s="48"/>
      <c r="I96" s="48"/>
      <c r="J96" s="48"/>
      <c r="K96" s="48"/>
      <c r="L96" s="48"/>
      <c r="M96" s="81"/>
      <c r="N96" s="53"/>
      <c r="O96" s="53"/>
      <c r="P96" s="50"/>
      <c r="Q96" s="6"/>
      <c r="R96" s="70">
        <f t="shared" si="45"/>
        <v>0</v>
      </c>
      <c r="S96" s="76"/>
      <c r="T96" s="91"/>
      <c r="U96" s="41"/>
      <c r="V96" s="9"/>
      <c r="W96" s="27" t="str">
        <f t="shared" si="63"/>
        <v/>
      </c>
      <c r="X96" s="29" t="str">
        <f t="shared" si="66"/>
        <v/>
      </c>
      <c r="Y96" s="29" t="str">
        <f t="shared" si="65"/>
        <v/>
      </c>
      <c r="Z96" s="29" t="str">
        <f t="shared" si="65"/>
        <v/>
      </c>
      <c r="AA96" s="29" t="str">
        <f t="shared" si="65"/>
        <v/>
      </c>
      <c r="AB96" s="29" t="str">
        <f t="shared" si="65"/>
        <v/>
      </c>
      <c r="AC96" s="29" t="str">
        <f t="shared" si="65"/>
        <v/>
      </c>
      <c r="AD96" s="29" t="str">
        <f t="shared" si="65"/>
        <v/>
      </c>
      <c r="AE96" s="29" t="str">
        <f t="shared" si="65"/>
        <v/>
      </c>
      <c r="AF96" s="29" t="str">
        <f t="shared" si="65"/>
        <v/>
      </c>
      <c r="AG96" s="29" t="str">
        <f t="shared" si="65"/>
        <v/>
      </c>
      <c r="AH96" s="29" t="str">
        <f t="shared" si="65"/>
        <v/>
      </c>
      <c r="AI96" s="29" t="str">
        <f t="shared" si="65"/>
        <v/>
      </c>
      <c r="AJ96" s="30" t="str">
        <f t="shared" si="46"/>
        <v/>
      </c>
      <c r="AL96" s="36">
        <f t="shared" si="47"/>
        <v>0</v>
      </c>
      <c r="AM96" s="36">
        <f t="shared" si="48"/>
        <v>0</v>
      </c>
      <c r="AN96" s="99" t="str">
        <f t="shared" si="49"/>
        <v/>
      </c>
      <c r="AO96" s="99" t="str">
        <f t="shared" si="50"/>
        <v/>
      </c>
      <c r="AP96" s="99" t="str">
        <f t="shared" si="51"/>
        <v/>
      </c>
      <c r="AQ96" s="99" t="str">
        <f t="shared" si="52"/>
        <v/>
      </c>
      <c r="AR96" s="99" t="str">
        <f t="shared" si="53"/>
        <v/>
      </c>
      <c r="AS96" s="99" t="str">
        <f t="shared" si="54"/>
        <v/>
      </c>
      <c r="AT96" s="99" t="str">
        <f t="shared" si="55"/>
        <v/>
      </c>
      <c r="AU96" s="99" t="str">
        <f t="shared" si="56"/>
        <v/>
      </c>
      <c r="AV96" s="99" t="str">
        <f t="shared" si="57"/>
        <v/>
      </c>
      <c r="AW96" s="99" t="str">
        <f t="shared" si="58"/>
        <v/>
      </c>
      <c r="AX96" s="99" t="str">
        <f t="shared" si="59"/>
        <v/>
      </c>
      <c r="AY96" s="99" t="str">
        <f t="shared" si="60"/>
        <v/>
      </c>
      <c r="AZ96" s="99" t="str">
        <f t="shared" si="61"/>
        <v/>
      </c>
      <c r="BA96" s="98" t="str">
        <f t="shared" si="62"/>
        <v/>
      </c>
    </row>
    <row r="97" spans="1:53" ht="15" customHeight="1" x14ac:dyDescent="0.35">
      <c r="A97" s="113"/>
      <c r="B97" s="3"/>
      <c r="C97" s="50"/>
      <c r="D97" s="48"/>
      <c r="E97" s="50"/>
      <c r="F97" s="61"/>
      <c r="G97" s="48"/>
      <c r="H97" s="48"/>
      <c r="I97" s="48"/>
      <c r="J97" s="48"/>
      <c r="K97" s="48"/>
      <c r="L97" s="48"/>
      <c r="M97" s="81"/>
      <c r="N97" s="53"/>
      <c r="O97" s="53"/>
      <c r="P97" s="50"/>
      <c r="Q97" s="6"/>
      <c r="R97" s="70">
        <f t="shared" si="45"/>
        <v>0</v>
      </c>
      <c r="S97" s="76"/>
      <c r="T97" s="91"/>
      <c r="U97" s="41"/>
      <c r="V97" s="9"/>
      <c r="W97" s="27" t="str">
        <f t="shared" si="63"/>
        <v/>
      </c>
      <c r="X97" s="29" t="str">
        <f t="shared" si="66"/>
        <v/>
      </c>
      <c r="Y97" s="29" t="str">
        <f t="shared" si="65"/>
        <v/>
      </c>
      <c r="Z97" s="29" t="str">
        <f t="shared" si="65"/>
        <v/>
      </c>
      <c r="AA97" s="29" t="str">
        <f t="shared" si="65"/>
        <v/>
      </c>
      <c r="AB97" s="29" t="str">
        <f t="shared" si="65"/>
        <v/>
      </c>
      <c r="AC97" s="29" t="str">
        <f t="shared" si="65"/>
        <v/>
      </c>
      <c r="AD97" s="29" t="str">
        <f t="shared" si="65"/>
        <v/>
      </c>
      <c r="AE97" s="29" t="str">
        <f t="shared" si="65"/>
        <v/>
      </c>
      <c r="AF97" s="29" t="str">
        <f t="shared" si="65"/>
        <v/>
      </c>
      <c r="AG97" s="29" t="str">
        <f t="shared" si="65"/>
        <v/>
      </c>
      <c r="AH97" s="29" t="str">
        <f t="shared" si="65"/>
        <v/>
      </c>
      <c r="AI97" s="29" t="str">
        <f t="shared" si="65"/>
        <v/>
      </c>
      <c r="AJ97" s="30" t="str">
        <f t="shared" si="46"/>
        <v/>
      </c>
      <c r="AL97" s="36">
        <f t="shared" si="47"/>
        <v>0</v>
      </c>
      <c r="AM97" s="36">
        <f t="shared" si="48"/>
        <v>0</v>
      </c>
      <c r="AN97" s="99" t="str">
        <f t="shared" si="49"/>
        <v/>
      </c>
      <c r="AO97" s="99" t="str">
        <f t="shared" si="50"/>
        <v/>
      </c>
      <c r="AP97" s="99" t="str">
        <f t="shared" si="51"/>
        <v/>
      </c>
      <c r="AQ97" s="99" t="str">
        <f t="shared" si="52"/>
        <v/>
      </c>
      <c r="AR97" s="99" t="str">
        <f t="shared" si="53"/>
        <v/>
      </c>
      <c r="AS97" s="99" t="str">
        <f t="shared" si="54"/>
        <v/>
      </c>
      <c r="AT97" s="99" t="str">
        <f t="shared" si="55"/>
        <v/>
      </c>
      <c r="AU97" s="99" t="str">
        <f t="shared" si="56"/>
        <v/>
      </c>
      <c r="AV97" s="99" t="str">
        <f t="shared" si="57"/>
        <v/>
      </c>
      <c r="AW97" s="99" t="str">
        <f t="shared" si="58"/>
        <v/>
      </c>
      <c r="AX97" s="99" t="str">
        <f t="shared" si="59"/>
        <v/>
      </c>
      <c r="AY97" s="99" t="str">
        <f t="shared" si="60"/>
        <v/>
      </c>
      <c r="AZ97" s="99" t="str">
        <f t="shared" si="61"/>
        <v/>
      </c>
      <c r="BA97" s="98" t="str">
        <f t="shared" si="62"/>
        <v/>
      </c>
    </row>
    <row r="98" spans="1:53" ht="15" customHeight="1" x14ac:dyDescent="0.35">
      <c r="A98" s="113"/>
      <c r="B98" s="3"/>
      <c r="C98" s="50"/>
      <c r="D98" s="48"/>
      <c r="E98" s="50"/>
      <c r="F98" s="61"/>
      <c r="G98" s="48"/>
      <c r="H98" s="48"/>
      <c r="I98" s="48"/>
      <c r="J98" s="48"/>
      <c r="K98" s="48"/>
      <c r="L98" s="48"/>
      <c r="M98" s="81"/>
      <c r="N98" s="53"/>
      <c r="O98" s="53"/>
      <c r="P98" s="50"/>
      <c r="Q98" s="6"/>
      <c r="R98" s="70">
        <f t="shared" si="45"/>
        <v>0</v>
      </c>
      <c r="S98" s="76"/>
      <c r="T98" s="91"/>
      <c r="U98" s="41"/>
      <c r="V98" s="9"/>
      <c r="W98" s="27" t="str">
        <f t="shared" si="63"/>
        <v/>
      </c>
      <c r="X98" s="29" t="str">
        <f t="shared" si="66"/>
        <v/>
      </c>
      <c r="Y98" s="29" t="str">
        <f t="shared" si="65"/>
        <v/>
      </c>
      <c r="Z98" s="29" t="str">
        <f t="shared" si="65"/>
        <v/>
      </c>
      <c r="AA98" s="29" t="str">
        <f t="shared" si="65"/>
        <v/>
      </c>
      <c r="AB98" s="29" t="str">
        <f t="shared" si="65"/>
        <v/>
      </c>
      <c r="AC98" s="29" t="str">
        <f t="shared" si="65"/>
        <v/>
      </c>
      <c r="AD98" s="29" t="str">
        <f t="shared" si="65"/>
        <v/>
      </c>
      <c r="AE98" s="29" t="str">
        <f t="shared" si="65"/>
        <v/>
      </c>
      <c r="AF98" s="29" t="str">
        <f t="shared" si="65"/>
        <v/>
      </c>
      <c r="AG98" s="29" t="str">
        <f t="shared" si="65"/>
        <v/>
      </c>
      <c r="AH98" s="29" t="str">
        <f t="shared" si="65"/>
        <v/>
      </c>
      <c r="AI98" s="29" t="str">
        <f t="shared" si="65"/>
        <v/>
      </c>
      <c r="AJ98" s="30" t="str">
        <f t="shared" si="46"/>
        <v/>
      </c>
      <c r="AL98" s="36">
        <f t="shared" si="47"/>
        <v>0</v>
      </c>
      <c r="AM98" s="36">
        <f t="shared" si="48"/>
        <v>0</v>
      </c>
      <c r="AN98" s="99" t="str">
        <f t="shared" si="49"/>
        <v/>
      </c>
      <c r="AO98" s="99" t="str">
        <f t="shared" si="50"/>
        <v/>
      </c>
      <c r="AP98" s="99" t="str">
        <f t="shared" si="51"/>
        <v/>
      </c>
      <c r="AQ98" s="99" t="str">
        <f t="shared" si="52"/>
        <v/>
      </c>
      <c r="AR98" s="99" t="str">
        <f t="shared" si="53"/>
        <v/>
      </c>
      <c r="AS98" s="99" t="str">
        <f t="shared" si="54"/>
        <v/>
      </c>
      <c r="AT98" s="99" t="str">
        <f t="shared" si="55"/>
        <v/>
      </c>
      <c r="AU98" s="99" t="str">
        <f t="shared" si="56"/>
        <v/>
      </c>
      <c r="AV98" s="99" t="str">
        <f t="shared" si="57"/>
        <v/>
      </c>
      <c r="AW98" s="99" t="str">
        <f t="shared" si="58"/>
        <v/>
      </c>
      <c r="AX98" s="99" t="str">
        <f t="shared" si="59"/>
        <v/>
      </c>
      <c r="AY98" s="99" t="str">
        <f t="shared" si="60"/>
        <v/>
      </c>
      <c r="AZ98" s="99" t="str">
        <f t="shared" si="61"/>
        <v/>
      </c>
      <c r="BA98" s="98" t="str">
        <f t="shared" si="62"/>
        <v/>
      </c>
    </row>
    <row r="99" spans="1:53" ht="15" customHeight="1" x14ac:dyDescent="0.35">
      <c r="A99" s="113"/>
      <c r="B99" s="3"/>
      <c r="C99" s="50"/>
      <c r="D99" s="48"/>
      <c r="E99" s="50"/>
      <c r="F99" s="61"/>
      <c r="G99" s="48"/>
      <c r="H99" s="48"/>
      <c r="I99" s="48"/>
      <c r="J99" s="48"/>
      <c r="K99" s="48"/>
      <c r="L99" s="48"/>
      <c r="M99" s="81"/>
      <c r="N99" s="53"/>
      <c r="O99" s="53"/>
      <c r="P99" s="50"/>
      <c r="Q99" s="6"/>
      <c r="R99" s="70">
        <f t="shared" si="45"/>
        <v>0</v>
      </c>
      <c r="S99" s="76"/>
      <c r="T99" s="91"/>
      <c r="U99" s="41"/>
      <c r="V99" s="9"/>
      <c r="W99" s="27" t="str">
        <f t="shared" si="63"/>
        <v/>
      </c>
      <c r="X99" s="29" t="str">
        <f t="shared" si="66"/>
        <v/>
      </c>
      <c r="Y99" s="29" t="str">
        <f t="shared" ref="Y99:AI108" si="67">IF(AND(Y$3&lt;&gt;"",$W99&lt;&gt;""),ROUND(2*($R99*(COUNT($X$3:$AI$3)+1)-$W99)*Y$3,0)/2,"")</f>
        <v/>
      </c>
      <c r="Z99" s="29" t="str">
        <f t="shared" si="67"/>
        <v/>
      </c>
      <c r="AA99" s="29" t="str">
        <f t="shared" si="67"/>
        <v/>
      </c>
      <c r="AB99" s="29" t="str">
        <f t="shared" si="67"/>
        <v/>
      </c>
      <c r="AC99" s="29" t="str">
        <f t="shared" si="67"/>
        <v/>
      </c>
      <c r="AD99" s="29" t="str">
        <f t="shared" si="67"/>
        <v/>
      </c>
      <c r="AE99" s="29" t="str">
        <f t="shared" si="67"/>
        <v/>
      </c>
      <c r="AF99" s="29" t="str">
        <f t="shared" si="67"/>
        <v/>
      </c>
      <c r="AG99" s="29" t="str">
        <f t="shared" si="67"/>
        <v/>
      </c>
      <c r="AH99" s="29" t="str">
        <f t="shared" si="67"/>
        <v/>
      </c>
      <c r="AI99" s="29" t="str">
        <f t="shared" si="67"/>
        <v/>
      </c>
      <c r="AJ99" s="30" t="str">
        <f t="shared" si="46"/>
        <v/>
      </c>
      <c r="AL99" s="36">
        <f t="shared" si="47"/>
        <v>0</v>
      </c>
      <c r="AM99" s="36">
        <f t="shared" si="48"/>
        <v>0</v>
      </c>
      <c r="AN99" s="99" t="str">
        <f t="shared" si="49"/>
        <v/>
      </c>
      <c r="AO99" s="99" t="str">
        <f t="shared" si="50"/>
        <v/>
      </c>
      <c r="AP99" s="99" t="str">
        <f t="shared" si="51"/>
        <v/>
      </c>
      <c r="AQ99" s="99" t="str">
        <f t="shared" si="52"/>
        <v/>
      </c>
      <c r="AR99" s="99" t="str">
        <f t="shared" si="53"/>
        <v/>
      </c>
      <c r="AS99" s="99" t="str">
        <f t="shared" si="54"/>
        <v/>
      </c>
      <c r="AT99" s="99" t="str">
        <f t="shared" si="55"/>
        <v/>
      </c>
      <c r="AU99" s="99" t="str">
        <f t="shared" si="56"/>
        <v/>
      </c>
      <c r="AV99" s="99" t="str">
        <f t="shared" si="57"/>
        <v/>
      </c>
      <c r="AW99" s="99" t="str">
        <f t="shared" si="58"/>
        <v/>
      </c>
      <c r="AX99" s="99" t="str">
        <f t="shared" si="59"/>
        <v/>
      </c>
      <c r="AY99" s="99" t="str">
        <f t="shared" si="60"/>
        <v/>
      </c>
      <c r="AZ99" s="99" t="str">
        <f t="shared" si="61"/>
        <v/>
      </c>
      <c r="BA99" s="98" t="str">
        <f t="shared" si="62"/>
        <v/>
      </c>
    </row>
    <row r="100" spans="1:53" ht="15" customHeight="1" thickBot="1" x14ac:dyDescent="0.4">
      <c r="A100" s="114"/>
      <c r="B100" s="4"/>
      <c r="C100" s="58"/>
      <c r="D100" s="49"/>
      <c r="E100" s="58"/>
      <c r="F100" s="62"/>
      <c r="G100" s="49"/>
      <c r="H100" s="49"/>
      <c r="I100" s="49"/>
      <c r="J100" s="49"/>
      <c r="K100" s="49"/>
      <c r="L100" s="49"/>
      <c r="M100" s="82"/>
      <c r="N100" s="54"/>
      <c r="O100" s="54"/>
      <c r="P100" s="58"/>
      <c r="Q100" s="7"/>
      <c r="R100" s="103">
        <f t="shared" si="45"/>
        <v>0</v>
      </c>
      <c r="S100" s="77"/>
      <c r="T100" s="92"/>
      <c r="U100" s="42"/>
      <c r="V100" s="9"/>
      <c r="W100" s="27" t="str">
        <f t="shared" si="63"/>
        <v/>
      </c>
      <c r="X100" s="29" t="str">
        <f t="shared" si="66"/>
        <v/>
      </c>
      <c r="Y100" s="29" t="str">
        <f t="shared" si="67"/>
        <v/>
      </c>
      <c r="Z100" s="29" t="str">
        <f t="shared" si="67"/>
        <v/>
      </c>
      <c r="AA100" s="29" t="str">
        <f t="shared" si="67"/>
        <v/>
      </c>
      <c r="AB100" s="29" t="str">
        <f t="shared" si="67"/>
        <v/>
      </c>
      <c r="AC100" s="29" t="str">
        <f t="shared" si="67"/>
        <v/>
      </c>
      <c r="AD100" s="29" t="str">
        <f t="shared" si="67"/>
        <v/>
      </c>
      <c r="AE100" s="29" t="str">
        <f t="shared" si="67"/>
        <v/>
      </c>
      <c r="AF100" s="29" t="str">
        <f t="shared" si="67"/>
        <v/>
      </c>
      <c r="AG100" s="29" t="str">
        <f t="shared" si="67"/>
        <v/>
      </c>
      <c r="AH100" s="29" t="str">
        <f t="shared" si="67"/>
        <v/>
      </c>
      <c r="AI100" s="29" t="str">
        <f t="shared" si="67"/>
        <v/>
      </c>
      <c r="AJ100" s="30" t="str">
        <f t="shared" si="46"/>
        <v/>
      </c>
      <c r="AL100" s="36">
        <f t="shared" si="47"/>
        <v>0</v>
      </c>
      <c r="AM100" s="36">
        <f t="shared" si="48"/>
        <v>0</v>
      </c>
      <c r="AN100" s="99" t="str">
        <f t="shared" si="49"/>
        <v/>
      </c>
      <c r="AO100" s="99" t="str">
        <f t="shared" si="50"/>
        <v/>
      </c>
      <c r="AP100" s="99" t="str">
        <f t="shared" si="51"/>
        <v/>
      </c>
      <c r="AQ100" s="99" t="str">
        <f t="shared" si="52"/>
        <v/>
      </c>
      <c r="AR100" s="99" t="str">
        <f t="shared" si="53"/>
        <v/>
      </c>
      <c r="AS100" s="99" t="str">
        <f t="shared" si="54"/>
        <v/>
      </c>
      <c r="AT100" s="99" t="str">
        <f t="shared" si="55"/>
        <v/>
      </c>
      <c r="AU100" s="99" t="str">
        <f t="shared" si="56"/>
        <v/>
      </c>
      <c r="AV100" s="99" t="str">
        <f t="shared" si="57"/>
        <v/>
      </c>
      <c r="AW100" s="99" t="str">
        <f t="shared" si="58"/>
        <v/>
      </c>
      <c r="AX100" s="99" t="str">
        <f t="shared" si="59"/>
        <v/>
      </c>
      <c r="AY100" s="99" t="str">
        <f t="shared" si="60"/>
        <v/>
      </c>
      <c r="AZ100" s="99" t="str">
        <f t="shared" si="61"/>
        <v/>
      </c>
      <c r="BA100" s="98" t="str">
        <f t="shared" si="62"/>
        <v/>
      </c>
    </row>
    <row r="101" spans="1:53" ht="15" customHeight="1" x14ac:dyDescent="0.35">
      <c r="A101" s="112">
        <v>17</v>
      </c>
      <c r="B101" s="5"/>
      <c r="C101" s="69"/>
      <c r="D101" s="60"/>
      <c r="E101" s="69"/>
      <c r="F101" s="59"/>
      <c r="G101" s="60"/>
      <c r="H101" s="60"/>
      <c r="I101" s="60"/>
      <c r="J101" s="60"/>
      <c r="K101" s="60"/>
      <c r="L101" s="60"/>
      <c r="M101" s="80"/>
      <c r="N101" s="79"/>
      <c r="O101" s="79"/>
      <c r="P101" s="69"/>
      <c r="Q101" s="8"/>
      <c r="R101" s="70">
        <f t="shared" si="45"/>
        <v>0</v>
      </c>
      <c r="S101" s="76"/>
      <c r="T101" s="90"/>
      <c r="U101" s="40"/>
      <c r="V101" s="9"/>
      <c r="W101" s="27" t="str">
        <f t="shared" si="63"/>
        <v/>
      </c>
      <c r="X101" s="29" t="str">
        <f t="shared" si="66"/>
        <v/>
      </c>
      <c r="Y101" s="29" t="str">
        <f t="shared" si="67"/>
        <v/>
      </c>
      <c r="Z101" s="29" t="str">
        <f t="shared" si="67"/>
        <v/>
      </c>
      <c r="AA101" s="29" t="str">
        <f t="shared" si="67"/>
        <v/>
      </c>
      <c r="AB101" s="29" t="str">
        <f t="shared" si="67"/>
        <v/>
      </c>
      <c r="AC101" s="29" t="str">
        <f t="shared" si="67"/>
        <v/>
      </c>
      <c r="AD101" s="29" t="str">
        <f t="shared" si="67"/>
        <v/>
      </c>
      <c r="AE101" s="29" t="str">
        <f t="shared" si="67"/>
        <v/>
      </c>
      <c r="AF101" s="29" t="str">
        <f t="shared" si="67"/>
        <v/>
      </c>
      <c r="AG101" s="29" t="str">
        <f t="shared" si="67"/>
        <v/>
      </c>
      <c r="AH101" s="29" t="str">
        <f t="shared" si="67"/>
        <v/>
      </c>
      <c r="AI101" s="29" t="str">
        <f t="shared" si="67"/>
        <v/>
      </c>
      <c r="AJ101" s="30" t="str">
        <f t="shared" si="46"/>
        <v/>
      </c>
      <c r="AL101" s="36">
        <f t="shared" si="47"/>
        <v>0</v>
      </c>
      <c r="AM101" s="36">
        <f t="shared" si="48"/>
        <v>0</v>
      </c>
      <c r="AN101" s="99" t="str">
        <f t="shared" si="49"/>
        <v/>
      </c>
      <c r="AO101" s="99" t="str">
        <f t="shared" si="50"/>
        <v/>
      </c>
      <c r="AP101" s="99" t="str">
        <f t="shared" si="51"/>
        <v/>
      </c>
      <c r="AQ101" s="99" t="str">
        <f t="shared" si="52"/>
        <v/>
      </c>
      <c r="AR101" s="99" t="str">
        <f t="shared" si="53"/>
        <v/>
      </c>
      <c r="AS101" s="99" t="str">
        <f t="shared" si="54"/>
        <v/>
      </c>
      <c r="AT101" s="99" t="str">
        <f t="shared" si="55"/>
        <v/>
      </c>
      <c r="AU101" s="99" t="str">
        <f t="shared" si="56"/>
        <v/>
      </c>
      <c r="AV101" s="99" t="str">
        <f t="shared" si="57"/>
        <v/>
      </c>
      <c r="AW101" s="99" t="str">
        <f t="shared" si="58"/>
        <v/>
      </c>
      <c r="AX101" s="99" t="str">
        <f t="shared" si="59"/>
        <v/>
      </c>
      <c r="AY101" s="99" t="str">
        <f t="shared" si="60"/>
        <v/>
      </c>
      <c r="AZ101" s="99" t="str">
        <f t="shared" si="61"/>
        <v/>
      </c>
      <c r="BA101" s="98" t="str">
        <f t="shared" si="62"/>
        <v/>
      </c>
    </row>
    <row r="102" spans="1:53" ht="15" customHeight="1" x14ac:dyDescent="0.35">
      <c r="A102" s="113"/>
      <c r="B102" s="3"/>
      <c r="C102" s="50"/>
      <c r="D102" s="48"/>
      <c r="E102" s="50"/>
      <c r="F102" s="61"/>
      <c r="G102" s="48"/>
      <c r="H102" s="48"/>
      <c r="I102" s="48"/>
      <c r="J102" s="48"/>
      <c r="K102" s="48"/>
      <c r="L102" s="48"/>
      <c r="M102" s="81"/>
      <c r="N102" s="53"/>
      <c r="O102" s="53"/>
      <c r="P102" s="50"/>
      <c r="Q102" s="6"/>
      <c r="R102" s="70">
        <f t="shared" si="45"/>
        <v>0</v>
      </c>
      <c r="S102" s="76"/>
      <c r="T102" s="91"/>
      <c r="U102" s="41"/>
      <c r="V102" s="9"/>
      <c r="W102" s="27" t="str">
        <f t="shared" si="63"/>
        <v/>
      </c>
      <c r="X102" s="29" t="str">
        <f t="shared" si="66"/>
        <v/>
      </c>
      <c r="Y102" s="29" t="str">
        <f t="shared" si="67"/>
        <v/>
      </c>
      <c r="Z102" s="29" t="str">
        <f t="shared" si="67"/>
        <v/>
      </c>
      <c r="AA102" s="29" t="str">
        <f t="shared" si="67"/>
        <v/>
      </c>
      <c r="AB102" s="29" t="str">
        <f t="shared" si="67"/>
        <v/>
      </c>
      <c r="AC102" s="29" t="str">
        <f t="shared" si="67"/>
        <v/>
      </c>
      <c r="AD102" s="29" t="str">
        <f t="shared" si="67"/>
        <v/>
      </c>
      <c r="AE102" s="29" t="str">
        <f t="shared" si="67"/>
        <v/>
      </c>
      <c r="AF102" s="29" t="str">
        <f t="shared" si="67"/>
        <v/>
      </c>
      <c r="AG102" s="29" t="str">
        <f t="shared" si="67"/>
        <v/>
      </c>
      <c r="AH102" s="29" t="str">
        <f t="shared" si="67"/>
        <v/>
      </c>
      <c r="AI102" s="29" t="str">
        <f t="shared" si="67"/>
        <v/>
      </c>
      <c r="AJ102" s="30" t="str">
        <f t="shared" si="46"/>
        <v/>
      </c>
      <c r="AL102" s="36">
        <f t="shared" ref="AL102:AL124" si="68">IF(R102&lt;10,MAX(0,2*R102-10),MAX(10,2*R102-20))</f>
        <v>0</v>
      </c>
      <c r="AM102" s="36">
        <f t="shared" ref="AM102:AM124" si="69">2*R102-AL102</f>
        <v>0</v>
      </c>
      <c r="AN102" s="99" t="str">
        <f t="shared" si="49"/>
        <v/>
      </c>
      <c r="AO102" s="99" t="str">
        <f t="shared" si="50"/>
        <v/>
      </c>
      <c r="AP102" s="99" t="str">
        <f t="shared" si="51"/>
        <v/>
      </c>
      <c r="AQ102" s="99" t="str">
        <f t="shared" si="52"/>
        <v/>
      </c>
      <c r="AR102" s="99" t="str">
        <f t="shared" si="53"/>
        <v/>
      </c>
      <c r="AS102" s="99" t="str">
        <f t="shared" si="54"/>
        <v/>
      </c>
      <c r="AT102" s="99" t="str">
        <f t="shared" si="55"/>
        <v/>
      </c>
      <c r="AU102" s="99" t="str">
        <f t="shared" si="56"/>
        <v/>
      </c>
      <c r="AV102" s="99" t="str">
        <f t="shared" si="57"/>
        <v/>
      </c>
      <c r="AW102" s="99" t="str">
        <f t="shared" si="58"/>
        <v/>
      </c>
      <c r="AX102" s="99" t="str">
        <f t="shared" si="59"/>
        <v/>
      </c>
      <c r="AY102" s="99" t="str">
        <f t="shared" si="60"/>
        <v/>
      </c>
      <c r="AZ102" s="99" t="str">
        <f t="shared" si="61"/>
        <v/>
      </c>
      <c r="BA102" s="98" t="str">
        <f t="shared" si="62"/>
        <v/>
      </c>
    </row>
    <row r="103" spans="1:53" ht="15" customHeight="1" x14ac:dyDescent="0.35">
      <c r="A103" s="113"/>
      <c r="B103" s="3"/>
      <c r="C103" s="50"/>
      <c r="D103" s="48"/>
      <c r="E103" s="50"/>
      <c r="F103" s="61"/>
      <c r="G103" s="48"/>
      <c r="H103" s="48"/>
      <c r="I103" s="48"/>
      <c r="J103" s="48"/>
      <c r="K103" s="48"/>
      <c r="L103" s="48"/>
      <c r="M103" s="81"/>
      <c r="N103" s="53"/>
      <c r="O103" s="53"/>
      <c r="P103" s="50"/>
      <c r="Q103" s="6"/>
      <c r="R103" s="70">
        <f t="shared" si="45"/>
        <v>0</v>
      </c>
      <c r="S103" s="76"/>
      <c r="T103" s="91"/>
      <c r="U103" s="41"/>
      <c r="V103" s="9"/>
      <c r="W103" s="27" t="str">
        <f t="shared" si="63"/>
        <v/>
      </c>
      <c r="X103" s="29" t="str">
        <f t="shared" si="66"/>
        <v/>
      </c>
      <c r="Y103" s="29" t="str">
        <f t="shared" si="67"/>
        <v/>
      </c>
      <c r="Z103" s="29" t="str">
        <f t="shared" si="67"/>
        <v/>
      </c>
      <c r="AA103" s="29" t="str">
        <f t="shared" si="67"/>
        <v/>
      </c>
      <c r="AB103" s="29" t="str">
        <f t="shared" si="67"/>
        <v/>
      </c>
      <c r="AC103" s="29" t="str">
        <f t="shared" si="67"/>
        <v/>
      </c>
      <c r="AD103" s="29" t="str">
        <f t="shared" si="67"/>
        <v/>
      </c>
      <c r="AE103" s="29" t="str">
        <f t="shared" si="67"/>
        <v/>
      </c>
      <c r="AF103" s="29" t="str">
        <f t="shared" si="67"/>
        <v/>
      </c>
      <c r="AG103" s="29" t="str">
        <f t="shared" si="67"/>
        <v/>
      </c>
      <c r="AH103" s="29" t="str">
        <f t="shared" si="67"/>
        <v/>
      </c>
      <c r="AI103" s="29" t="str">
        <f t="shared" si="67"/>
        <v/>
      </c>
      <c r="AJ103" s="30" t="str">
        <f t="shared" si="46"/>
        <v/>
      </c>
      <c r="AL103" s="36">
        <f t="shared" si="68"/>
        <v>0</v>
      </c>
      <c r="AM103" s="36">
        <f t="shared" si="69"/>
        <v>0</v>
      </c>
      <c r="AN103" s="99" t="str">
        <f t="shared" si="49"/>
        <v/>
      </c>
      <c r="AO103" s="99" t="str">
        <f t="shared" si="50"/>
        <v/>
      </c>
      <c r="AP103" s="99" t="str">
        <f t="shared" si="51"/>
        <v/>
      </c>
      <c r="AQ103" s="99" t="str">
        <f t="shared" si="52"/>
        <v/>
      </c>
      <c r="AR103" s="99" t="str">
        <f t="shared" si="53"/>
        <v/>
      </c>
      <c r="AS103" s="99" t="str">
        <f t="shared" si="54"/>
        <v/>
      </c>
      <c r="AT103" s="99" t="str">
        <f t="shared" si="55"/>
        <v/>
      </c>
      <c r="AU103" s="99" t="str">
        <f t="shared" si="56"/>
        <v/>
      </c>
      <c r="AV103" s="99" t="str">
        <f t="shared" si="57"/>
        <v/>
      </c>
      <c r="AW103" s="99" t="str">
        <f t="shared" si="58"/>
        <v/>
      </c>
      <c r="AX103" s="99" t="str">
        <f t="shared" si="59"/>
        <v/>
      </c>
      <c r="AY103" s="99" t="str">
        <f t="shared" si="60"/>
        <v/>
      </c>
      <c r="AZ103" s="99" t="str">
        <f t="shared" si="61"/>
        <v/>
      </c>
      <c r="BA103" s="98" t="str">
        <f t="shared" si="62"/>
        <v/>
      </c>
    </row>
    <row r="104" spans="1:53" ht="15" customHeight="1" x14ac:dyDescent="0.35">
      <c r="A104" s="113"/>
      <c r="B104" s="3"/>
      <c r="C104" s="50"/>
      <c r="D104" s="48"/>
      <c r="E104" s="50"/>
      <c r="F104" s="61"/>
      <c r="G104" s="48"/>
      <c r="H104" s="48"/>
      <c r="I104" s="48"/>
      <c r="J104" s="48"/>
      <c r="K104" s="48"/>
      <c r="L104" s="48"/>
      <c r="M104" s="81"/>
      <c r="N104" s="53"/>
      <c r="O104" s="53"/>
      <c r="P104" s="50"/>
      <c r="Q104" s="6"/>
      <c r="R104" s="70">
        <f t="shared" si="45"/>
        <v>0</v>
      </c>
      <c r="S104" s="76"/>
      <c r="T104" s="91"/>
      <c r="U104" s="41"/>
      <c r="V104" s="9"/>
      <c r="W104" s="27" t="str">
        <f t="shared" si="63"/>
        <v/>
      </c>
      <c r="X104" s="29" t="str">
        <f t="shared" si="66"/>
        <v/>
      </c>
      <c r="Y104" s="29" t="str">
        <f t="shared" si="67"/>
        <v/>
      </c>
      <c r="Z104" s="29" t="str">
        <f t="shared" si="67"/>
        <v/>
      </c>
      <c r="AA104" s="29" t="str">
        <f t="shared" si="67"/>
        <v/>
      </c>
      <c r="AB104" s="29" t="str">
        <f t="shared" si="67"/>
        <v/>
      </c>
      <c r="AC104" s="29" t="str">
        <f t="shared" si="67"/>
        <v/>
      </c>
      <c r="AD104" s="29" t="str">
        <f t="shared" si="67"/>
        <v/>
      </c>
      <c r="AE104" s="29" t="str">
        <f t="shared" si="67"/>
        <v/>
      </c>
      <c r="AF104" s="29" t="str">
        <f t="shared" si="67"/>
        <v/>
      </c>
      <c r="AG104" s="29" t="str">
        <f t="shared" si="67"/>
        <v/>
      </c>
      <c r="AH104" s="29" t="str">
        <f t="shared" si="67"/>
        <v/>
      </c>
      <c r="AI104" s="29" t="str">
        <f t="shared" si="67"/>
        <v/>
      </c>
      <c r="AJ104" s="30" t="str">
        <f t="shared" si="46"/>
        <v/>
      </c>
      <c r="AL104" s="36">
        <f t="shared" si="68"/>
        <v>0</v>
      </c>
      <c r="AM104" s="36">
        <f t="shared" si="69"/>
        <v>0</v>
      </c>
      <c r="AN104" s="99" t="str">
        <f t="shared" si="49"/>
        <v/>
      </c>
      <c r="AO104" s="99" t="str">
        <f t="shared" si="50"/>
        <v/>
      </c>
      <c r="AP104" s="99" t="str">
        <f t="shared" si="51"/>
        <v/>
      </c>
      <c r="AQ104" s="99" t="str">
        <f t="shared" si="52"/>
        <v/>
      </c>
      <c r="AR104" s="99" t="str">
        <f t="shared" si="53"/>
        <v/>
      </c>
      <c r="AS104" s="99" t="str">
        <f t="shared" si="54"/>
        <v/>
      </c>
      <c r="AT104" s="99" t="str">
        <f t="shared" si="55"/>
        <v/>
      </c>
      <c r="AU104" s="99" t="str">
        <f t="shared" si="56"/>
        <v/>
      </c>
      <c r="AV104" s="99" t="str">
        <f t="shared" si="57"/>
        <v/>
      </c>
      <c r="AW104" s="99" t="str">
        <f t="shared" si="58"/>
        <v/>
      </c>
      <c r="AX104" s="99" t="str">
        <f t="shared" si="59"/>
        <v/>
      </c>
      <c r="AY104" s="99" t="str">
        <f t="shared" si="60"/>
        <v/>
      </c>
      <c r="AZ104" s="99" t="str">
        <f t="shared" si="61"/>
        <v/>
      </c>
      <c r="BA104" s="98" t="str">
        <f t="shared" si="62"/>
        <v/>
      </c>
    </row>
    <row r="105" spans="1:53" ht="15" customHeight="1" x14ac:dyDescent="0.35">
      <c r="A105" s="113"/>
      <c r="B105" s="3"/>
      <c r="C105" s="50"/>
      <c r="D105" s="48"/>
      <c r="E105" s="50"/>
      <c r="F105" s="61"/>
      <c r="G105" s="48"/>
      <c r="H105" s="48"/>
      <c r="I105" s="48"/>
      <c r="J105" s="48"/>
      <c r="K105" s="48"/>
      <c r="L105" s="48"/>
      <c r="M105" s="81"/>
      <c r="N105" s="53"/>
      <c r="O105" s="53"/>
      <c r="P105" s="50"/>
      <c r="Q105" s="6"/>
      <c r="R105" s="70">
        <f t="shared" si="45"/>
        <v>0</v>
      </c>
      <c r="S105" s="76"/>
      <c r="T105" s="91"/>
      <c r="U105" s="41"/>
      <c r="V105" s="9"/>
      <c r="W105" s="27" t="str">
        <f t="shared" ref="W105:W124" si="70">IF(COUNT(D105:Q105)&gt;0,ROUND(2*SUM(N105:Q105)/7*20,0)/2,"")</f>
        <v/>
      </c>
      <c r="X105" s="29" t="str">
        <f t="shared" si="66"/>
        <v/>
      </c>
      <c r="Y105" s="29" t="str">
        <f t="shared" si="67"/>
        <v/>
      </c>
      <c r="Z105" s="29" t="str">
        <f t="shared" si="67"/>
        <v/>
      </c>
      <c r="AA105" s="29" t="str">
        <f t="shared" si="67"/>
        <v/>
      </c>
      <c r="AB105" s="29" t="str">
        <f t="shared" si="67"/>
        <v/>
      </c>
      <c r="AC105" s="29" t="str">
        <f t="shared" si="67"/>
        <v/>
      </c>
      <c r="AD105" s="29" t="str">
        <f t="shared" si="67"/>
        <v/>
      </c>
      <c r="AE105" s="29" t="str">
        <f t="shared" si="67"/>
        <v/>
      </c>
      <c r="AF105" s="29" t="str">
        <f t="shared" si="67"/>
        <v/>
      </c>
      <c r="AG105" s="29" t="str">
        <f t="shared" si="67"/>
        <v/>
      </c>
      <c r="AH105" s="29" t="str">
        <f t="shared" si="67"/>
        <v/>
      </c>
      <c r="AI105" s="29" t="str">
        <f t="shared" si="67"/>
        <v/>
      </c>
      <c r="AJ105" s="30" t="str">
        <f t="shared" si="46"/>
        <v/>
      </c>
      <c r="AL105" s="36">
        <f t="shared" si="68"/>
        <v>0</v>
      </c>
      <c r="AM105" s="36">
        <f t="shared" si="69"/>
        <v>0</v>
      </c>
      <c r="AN105" s="99" t="str">
        <f t="shared" si="49"/>
        <v/>
      </c>
      <c r="AO105" s="99" t="str">
        <f t="shared" si="50"/>
        <v/>
      </c>
      <c r="AP105" s="99" t="str">
        <f t="shared" si="51"/>
        <v/>
      </c>
      <c r="AQ105" s="99" t="str">
        <f t="shared" si="52"/>
        <v/>
      </c>
      <c r="AR105" s="99" t="str">
        <f t="shared" si="53"/>
        <v/>
      </c>
      <c r="AS105" s="99" t="str">
        <f t="shared" si="54"/>
        <v/>
      </c>
      <c r="AT105" s="99" t="str">
        <f t="shared" si="55"/>
        <v/>
      </c>
      <c r="AU105" s="99" t="str">
        <f t="shared" si="56"/>
        <v/>
      </c>
      <c r="AV105" s="99" t="str">
        <f t="shared" si="57"/>
        <v/>
      </c>
      <c r="AW105" s="99" t="str">
        <f t="shared" si="58"/>
        <v/>
      </c>
      <c r="AX105" s="99" t="str">
        <f t="shared" si="59"/>
        <v/>
      </c>
      <c r="AY105" s="99" t="str">
        <f t="shared" si="60"/>
        <v/>
      </c>
      <c r="AZ105" s="99" t="str">
        <f t="shared" si="61"/>
        <v/>
      </c>
      <c r="BA105" s="98" t="str">
        <f t="shared" si="62"/>
        <v/>
      </c>
    </row>
    <row r="106" spans="1:53" ht="15" customHeight="1" thickBot="1" x14ac:dyDescent="0.4">
      <c r="A106" s="114"/>
      <c r="B106" s="4"/>
      <c r="C106" s="58"/>
      <c r="D106" s="49"/>
      <c r="E106" s="58"/>
      <c r="F106" s="62"/>
      <c r="G106" s="49"/>
      <c r="H106" s="49"/>
      <c r="I106" s="49"/>
      <c r="J106" s="49"/>
      <c r="K106" s="49"/>
      <c r="L106" s="49"/>
      <c r="M106" s="82"/>
      <c r="N106" s="54"/>
      <c r="O106" s="54"/>
      <c r="P106" s="58"/>
      <c r="Q106" s="7"/>
      <c r="R106" s="101">
        <f t="shared" si="45"/>
        <v>0</v>
      </c>
      <c r="S106" s="77"/>
      <c r="T106" s="92"/>
      <c r="U106" s="42"/>
      <c r="V106" s="9"/>
      <c r="W106" s="27" t="str">
        <f t="shared" si="70"/>
        <v/>
      </c>
      <c r="X106" s="29" t="str">
        <f t="shared" si="66"/>
        <v/>
      </c>
      <c r="Y106" s="29" t="str">
        <f t="shared" si="67"/>
        <v/>
      </c>
      <c r="Z106" s="29" t="str">
        <f t="shared" si="67"/>
        <v/>
      </c>
      <c r="AA106" s="29" t="str">
        <f t="shared" si="67"/>
        <v/>
      </c>
      <c r="AB106" s="29" t="str">
        <f t="shared" si="67"/>
        <v/>
      </c>
      <c r="AC106" s="29" t="str">
        <f t="shared" si="67"/>
        <v/>
      </c>
      <c r="AD106" s="29" t="str">
        <f t="shared" si="67"/>
        <v/>
      </c>
      <c r="AE106" s="29" t="str">
        <f t="shared" si="67"/>
        <v/>
      </c>
      <c r="AF106" s="29" t="str">
        <f t="shared" si="67"/>
        <v/>
      </c>
      <c r="AG106" s="29" t="str">
        <f t="shared" si="67"/>
        <v/>
      </c>
      <c r="AH106" s="29" t="str">
        <f t="shared" si="67"/>
        <v/>
      </c>
      <c r="AI106" s="29" t="str">
        <f t="shared" si="67"/>
        <v/>
      </c>
      <c r="AJ106" s="30" t="str">
        <f t="shared" si="46"/>
        <v/>
      </c>
      <c r="AL106" s="36">
        <f t="shared" si="68"/>
        <v>0</v>
      </c>
      <c r="AM106" s="36">
        <f t="shared" si="69"/>
        <v>0</v>
      </c>
      <c r="AN106" s="99" t="str">
        <f t="shared" si="49"/>
        <v/>
      </c>
      <c r="AO106" s="99" t="str">
        <f t="shared" si="50"/>
        <v/>
      </c>
      <c r="AP106" s="99" t="str">
        <f t="shared" si="51"/>
        <v/>
      </c>
      <c r="AQ106" s="99" t="str">
        <f t="shared" si="52"/>
        <v/>
      </c>
      <c r="AR106" s="99" t="str">
        <f t="shared" si="53"/>
        <v/>
      </c>
      <c r="AS106" s="99" t="str">
        <f t="shared" si="54"/>
        <v/>
      </c>
      <c r="AT106" s="99" t="str">
        <f t="shared" si="55"/>
        <v/>
      </c>
      <c r="AU106" s="99" t="str">
        <f t="shared" si="56"/>
        <v/>
      </c>
      <c r="AV106" s="99" t="str">
        <f t="shared" si="57"/>
        <v/>
      </c>
      <c r="AW106" s="99" t="str">
        <f t="shared" si="58"/>
        <v/>
      </c>
      <c r="AX106" s="99" t="str">
        <f t="shared" si="59"/>
        <v/>
      </c>
      <c r="AY106" s="99" t="str">
        <f t="shared" si="60"/>
        <v/>
      </c>
      <c r="AZ106" s="99" t="str">
        <f t="shared" si="61"/>
        <v/>
      </c>
      <c r="BA106" s="98" t="str">
        <f t="shared" si="62"/>
        <v/>
      </c>
    </row>
    <row r="107" spans="1:53" ht="15" customHeight="1" x14ac:dyDescent="0.35">
      <c r="A107" s="112">
        <v>18</v>
      </c>
      <c r="B107" s="5"/>
      <c r="C107" s="69"/>
      <c r="D107" s="60"/>
      <c r="E107" s="69"/>
      <c r="F107" s="59"/>
      <c r="G107" s="60"/>
      <c r="H107" s="60"/>
      <c r="I107" s="60"/>
      <c r="J107" s="60"/>
      <c r="K107" s="60"/>
      <c r="L107" s="60"/>
      <c r="M107" s="80"/>
      <c r="N107" s="79"/>
      <c r="O107" s="79"/>
      <c r="P107" s="69"/>
      <c r="Q107" s="8"/>
      <c r="R107" s="102">
        <f t="shared" si="45"/>
        <v>0</v>
      </c>
      <c r="S107" s="76"/>
      <c r="T107" s="90"/>
      <c r="U107" s="40"/>
      <c r="V107" s="9"/>
      <c r="W107" s="27" t="str">
        <f t="shared" si="70"/>
        <v/>
      </c>
      <c r="X107" s="29" t="str">
        <f t="shared" si="66"/>
        <v/>
      </c>
      <c r="Y107" s="29" t="str">
        <f t="shared" si="67"/>
        <v/>
      </c>
      <c r="Z107" s="29" t="str">
        <f t="shared" si="67"/>
        <v/>
      </c>
      <c r="AA107" s="29" t="str">
        <f t="shared" si="67"/>
        <v/>
      </c>
      <c r="AB107" s="29" t="str">
        <f t="shared" si="67"/>
        <v/>
      </c>
      <c r="AC107" s="29" t="str">
        <f t="shared" si="67"/>
        <v/>
      </c>
      <c r="AD107" s="29" t="str">
        <f t="shared" si="67"/>
        <v/>
      </c>
      <c r="AE107" s="29" t="str">
        <f t="shared" si="67"/>
        <v/>
      </c>
      <c r="AF107" s="29" t="str">
        <f t="shared" si="67"/>
        <v/>
      </c>
      <c r="AG107" s="29" t="str">
        <f t="shared" si="67"/>
        <v/>
      </c>
      <c r="AH107" s="29" t="str">
        <f t="shared" si="67"/>
        <v/>
      </c>
      <c r="AI107" s="29" t="str">
        <f t="shared" si="67"/>
        <v/>
      </c>
      <c r="AJ107" s="30" t="str">
        <f t="shared" si="46"/>
        <v/>
      </c>
      <c r="AL107" s="36">
        <f t="shared" si="68"/>
        <v>0</v>
      </c>
      <c r="AM107" s="36">
        <f t="shared" si="69"/>
        <v>0</v>
      </c>
      <c r="AN107" s="99" t="str">
        <f t="shared" si="49"/>
        <v/>
      </c>
      <c r="AO107" s="99" t="str">
        <f t="shared" si="50"/>
        <v/>
      </c>
      <c r="AP107" s="99" t="str">
        <f t="shared" si="51"/>
        <v/>
      </c>
      <c r="AQ107" s="99" t="str">
        <f t="shared" si="52"/>
        <v/>
      </c>
      <c r="AR107" s="99" t="str">
        <f t="shared" si="53"/>
        <v/>
      </c>
      <c r="AS107" s="99" t="str">
        <f t="shared" si="54"/>
        <v/>
      </c>
      <c r="AT107" s="99" t="str">
        <f t="shared" si="55"/>
        <v/>
      </c>
      <c r="AU107" s="99" t="str">
        <f t="shared" si="56"/>
        <v/>
      </c>
      <c r="AV107" s="99" t="str">
        <f t="shared" si="57"/>
        <v/>
      </c>
      <c r="AW107" s="99" t="str">
        <f t="shared" si="58"/>
        <v/>
      </c>
      <c r="AX107" s="99" t="str">
        <f t="shared" si="59"/>
        <v/>
      </c>
      <c r="AY107" s="99" t="str">
        <f t="shared" si="60"/>
        <v/>
      </c>
      <c r="AZ107" s="99" t="str">
        <f t="shared" si="61"/>
        <v/>
      </c>
      <c r="BA107" s="98" t="str">
        <f t="shared" si="62"/>
        <v/>
      </c>
    </row>
    <row r="108" spans="1:53" ht="15" customHeight="1" x14ac:dyDescent="0.35">
      <c r="A108" s="113"/>
      <c r="B108" s="3"/>
      <c r="C108" s="50"/>
      <c r="D108" s="48"/>
      <c r="E108" s="50"/>
      <c r="F108" s="61"/>
      <c r="G108" s="48"/>
      <c r="H108" s="48"/>
      <c r="I108" s="48"/>
      <c r="J108" s="48"/>
      <c r="K108" s="48"/>
      <c r="L108" s="48"/>
      <c r="M108" s="81"/>
      <c r="N108" s="53"/>
      <c r="O108" s="53"/>
      <c r="P108" s="50"/>
      <c r="Q108" s="6"/>
      <c r="R108" s="70">
        <f t="shared" si="45"/>
        <v>0</v>
      </c>
      <c r="S108" s="76"/>
      <c r="T108" s="91"/>
      <c r="U108" s="41"/>
      <c r="V108" s="9"/>
      <c r="W108" s="27" t="str">
        <f t="shared" si="70"/>
        <v/>
      </c>
      <c r="X108" s="29" t="str">
        <f t="shared" si="66"/>
        <v/>
      </c>
      <c r="Y108" s="29" t="str">
        <f t="shared" si="67"/>
        <v/>
      </c>
      <c r="Z108" s="29" t="str">
        <f t="shared" si="67"/>
        <v/>
      </c>
      <c r="AA108" s="29" t="str">
        <f t="shared" si="67"/>
        <v/>
      </c>
      <c r="AB108" s="29" t="str">
        <f t="shared" si="67"/>
        <v/>
      </c>
      <c r="AC108" s="29" t="str">
        <f t="shared" si="67"/>
        <v/>
      </c>
      <c r="AD108" s="29" t="str">
        <f t="shared" si="67"/>
        <v/>
      </c>
      <c r="AE108" s="29" t="str">
        <f t="shared" si="67"/>
        <v/>
      </c>
      <c r="AF108" s="29" t="str">
        <f t="shared" si="67"/>
        <v/>
      </c>
      <c r="AG108" s="29" t="str">
        <f t="shared" si="67"/>
        <v/>
      </c>
      <c r="AH108" s="29" t="str">
        <f t="shared" si="67"/>
        <v/>
      </c>
      <c r="AI108" s="29" t="str">
        <f t="shared" si="67"/>
        <v/>
      </c>
      <c r="AJ108" s="30" t="str">
        <f t="shared" si="46"/>
        <v/>
      </c>
      <c r="AL108" s="36">
        <f t="shared" si="68"/>
        <v>0</v>
      </c>
      <c r="AM108" s="36">
        <f t="shared" si="69"/>
        <v>0</v>
      </c>
      <c r="AN108" s="99" t="str">
        <f t="shared" si="49"/>
        <v/>
      </c>
      <c r="AO108" s="99" t="str">
        <f t="shared" si="50"/>
        <v/>
      </c>
      <c r="AP108" s="99" t="str">
        <f t="shared" si="51"/>
        <v/>
      </c>
      <c r="AQ108" s="99" t="str">
        <f t="shared" si="52"/>
        <v/>
      </c>
      <c r="AR108" s="99" t="str">
        <f t="shared" si="53"/>
        <v/>
      </c>
      <c r="AS108" s="99" t="str">
        <f t="shared" si="54"/>
        <v/>
      </c>
      <c r="AT108" s="99" t="str">
        <f t="shared" si="55"/>
        <v/>
      </c>
      <c r="AU108" s="99" t="str">
        <f t="shared" si="56"/>
        <v/>
      </c>
      <c r="AV108" s="99" t="str">
        <f t="shared" si="57"/>
        <v/>
      </c>
      <c r="AW108" s="99" t="str">
        <f t="shared" si="58"/>
        <v/>
      </c>
      <c r="AX108" s="99" t="str">
        <f t="shared" si="59"/>
        <v/>
      </c>
      <c r="AY108" s="99" t="str">
        <f t="shared" si="60"/>
        <v/>
      </c>
      <c r="AZ108" s="99" t="str">
        <f t="shared" si="61"/>
        <v/>
      </c>
      <c r="BA108" s="98" t="str">
        <f t="shared" si="62"/>
        <v/>
      </c>
    </row>
    <row r="109" spans="1:53" ht="15" customHeight="1" x14ac:dyDescent="0.35">
      <c r="A109" s="113"/>
      <c r="B109" s="3"/>
      <c r="C109" s="50"/>
      <c r="D109" s="48"/>
      <c r="E109" s="50"/>
      <c r="F109" s="61"/>
      <c r="G109" s="48"/>
      <c r="H109" s="48"/>
      <c r="I109" s="48"/>
      <c r="J109" s="48"/>
      <c r="K109" s="48"/>
      <c r="L109" s="48"/>
      <c r="M109" s="81"/>
      <c r="N109" s="53"/>
      <c r="O109" s="53"/>
      <c r="P109" s="50"/>
      <c r="Q109" s="6"/>
      <c r="R109" s="70">
        <f t="shared" si="45"/>
        <v>0</v>
      </c>
      <c r="S109" s="76"/>
      <c r="T109" s="91"/>
      <c r="U109" s="41"/>
      <c r="V109" s="9"/>
      <c r="W109" s="27" t="str">
        <f t="shared" si="70"/>
        <v/>
      </c>
      <c r="X109" s="29" t="str">
        <f t="shared" ref="X109:AI124" si="71">IF(AND(X$3&lt;&gt;"",$W109&lt;&gt;""),ROUND(2*($R109*(COUNT($X$3:$AI$3)+1)-$W109)*X$3,0)/2,"")</f>
        <v/>
      </c>
      <c r="Y109" s="29" t="str">
        <f t="shared" si="71"/>
        <v/>
      </c>
      <c r="Z109" s="29" t="str">
        <f t="shared" si="71"/>
        <v/>
      </c>
      <c r="AA109" s="29" t="str">
        <f t="shared" si="71"/>
        <v/>
      </c>
      <c r="AB109" s="29" t="str">
        <f t="shared" si="71"/>
        <v/>
      </c>
      <c r="AC109" s="29" t="str">
        <f t="shared" si="71"/>
        <v/>
      </c>
      <c r="AD109" s="29" t="str">
        <f t="shared" si="71"/>
        <v/>
      </c>
      <c r="AE109" s="29" t="str">
        <f t="shared" si="71"/>
        <v/>
      </c>
      <c r="AF109" s="29" t="str">
        <f t="shared" si="71"/>
        <v/>
      </c>
      <c r="AG109" s="29" t="str">
        <f t="shared" si="71"/>
        <v/>
      </c>
      <c r="AH109" s="29" t="str">
        <f t="shared" si="71"/>
        <v/>
      </c>
      <c r="AI109" s="29" t="str">
        <f t="shared" si="71"/>
        <v/>
      </c>
      <c r="AJ109" s="30" t="str">
        <f t="shared" si="46"/>
        <v/>
      </c>
      <c r="AL109" s="36">
        <f t="shared" si="68"/>
        <v>0</v>
      </c>
      <c r="AM109" s="36">
        <f t="shared" si="69"/>
        <v>0</v>
      </c>
      <c r="AN109" s="99" t="str">
        <f t="shared" si="49"/>
        <v/>
      </c>
      <c r="AO109" s="99" t="str">
        <f t="shared" si="50"/>
        <v/>
      </c>
      <c r="AP109" s="99" t="str">
        <f t="shared" si="51"/>
        <v/>
      </c>
      <c r="AQ109" s="99" t="str">
        <f t="shared" si="52"/>
        <v/>
      </c>
      <c r="AR109" s="99" t="str">
        <f t="shared" si="53"/>
        <v/>
      </c>
      <c r="AS109" s="99" t="str">
        <f t="shared" si="54"/>
        <v/>
      </c>
      <c r="AT109" s="99" t="str">
        <f t="shared" si="55"/>
        <v/>
      </c>
      <c r="AU109" s="99" t="str">
        <f t="shared" si="56"/>
        <v/>
      </c>
      <c r="AV109" s="99" t="str">
        <f t="shared" si="57"/>
        <v/>
      </c>
      <c r="AW109" s="99" t="str">
        <f t="shared" si="58"/>
        <v/>
      </c>
      <c r="AX109" s="99" t="str">
        <f t="shared" si="59"/>
        <v/>
      </c>
      <c r="AY109" s="99" t="str">
        <f t="shared" si="60"/>
        <v/>
      </c>
      <c r="AZ109" s="99" t="str">
        <f t="shared" si="61"/>
        <v/>
      </c>
      <c r="BA109" s="98" t="str">
        <f t="shared" si="62"/>
        <v/>
      </c>
    </row>
    <row r="110" spans="1:53" ht="15" customHeight="1" x14ac:dyDescent="0.35">
      <c r="A110" s="113"/>
      <c r="B110" s="3"/>
      <c r="C110" s="50"/>
      <c r="D110" s="48"/>
      <c r="E110" s="50"/>
      <c r="F110" s="61"/>
      <c r="G110" s="48"/>
      <c r="H110" s="48"/>
      <c r="I110" s="48"/>
      <c r="J110" s="48"/>
      <c r="K110" s="48"/>
      <c r="L110" s="48"/>
      <c r="M110" s="81"/>
      <c r="N110" s="53"/>
      <c r="O110" s="53"/>
      <c r="P110" s="50"/>
      <c r="Q110" s="6"/>
      <c r="R110" s="70">
        <f t="shared" si="45"/>
        <v>0</v>
      </c>
      <c r="S110" s="76"/>
      <c r="T110" s="91"/>
      <c r="U110" s="41"/>
      <c r="V110" s="9"/>
      <c r="W110" s="27" t="str">
        <f t="shared" si="70"/>
        <v/>
      </c>
      <c r="X110" s="29" t="str">
        <f t="shared" si="71"/>
        <v/>
      </c>
      <c r="Y110" s="29" t="str">
        <f t="shared" si="71"/>
        <v/>
      </c>
      <c r="Z110" s="29" t="str">
        <f t="shared" si="71"/>
        <v/>
      </c>
      <c r="AA110" s="29" t="str">
        <f t="shared" si="71"/>
        <v/>
      </c>
      <c r="AB110" s="29" t="str">
        <f t="shared" si="71"/>
        <v/>
      </c>
      <c r="AC110" s="29" t="str">
        <f t="shared" si="71"/>
        <v/>
      </c>
      <c r="AD110" s="29" t="str">
        <f t="shared" si="71"/>
        <v/>
      </c>
      <c r="AE110" s="29" t="str">
        <f t="shared" si="71"/>
        <v/>
      </c>
      <c r="AF110" s="29" t="str">
        <f t="shared" si="71"/>
        <v/>
      </c>
      <c r="AG110" s="29" t="str">
        <f t="shared" si="71"/>
        <v/>
      </c>
      <c r="AH110" s="29" t="str">
        <f t="shared" si="71"/>
        <v/>
      </c>
      <c r="AI110" s="29" t="str">
        <f t="shared" si="71"/>
        <v/>
      </c>
      <c r="AJ110" s="30" t="str">
        <f t="shared" si="46"/>
        <v/>
      </c>
      <c r="AL110" s="36">
        <f t="shared" si="68"/>
        <v>0</v>
      </c>
      <c r="AM110" s="36">
        <f t="shared" si="69"/>
        <v>0</v>
      </c>
      <c r="AN110" s="99" t="str">
        <f t="shared" si="49"/>
        <v/>
      </c>
      <c r="AO110" s="99" t="str">
        <f t="shared" si="50"/>
        <v/>
      </c>
      <c r="AP110" s="99" t="str">
        <f t="shared" si="51"/>
        <v/>
      </c>
      <c r="AQ110" s="99" t="str">
        <f t="shared" si="52"/>
        <v/>
      </c>
      <c r="AR110" s="99" t="str">
        <f t="shared" si="53"/>
        <v/>
      </c>
      <c r="AS110" s="99" t="str">
        <f t="shared" si="54"/>
        <v/>
      </c>
      <c r="AT110" s="99" t="str">
        <f t="shared" si="55"/>
        <v/>
      </c>
      <c r="AU110" s="99" t="str">
        <f t="shared" si="56"/>
        <v/>
      </c>
      <c r="AV110" s="99" t="str">
        <f t="shared" si="57"/>
        <v/>
      </c>
      <c r="AW110" s="99" t="str">
        <f t="shared" si="58"/>
        <v/>
      </c>
      <c r="AX110" s="99" t="str">
        <f t="shared" si="59"/>
        <v/>
      </c>
      <c r="AY110" s="99" t="str">
        <f t="shared" si="60"/>
        <v/>
      </c>
      <c r="AZ110" s="99" t="str">
        <f t="shared" si="61"/>
        <v/>
      </c>
      <c r="BA110" s="98" t="str">
        <f t="shared" si="62"/>
        <v/>
      </c>
    </row>
    <row r="111" spans="1:53" ht="15" customHeight="1" x14ac:dyDescent="0.35">
      <c r="A111" s="113"/>
      <c r="B111" s="3"/>
      <c r="C111" s="50"/>
      <c r="D111" s="48"/>
      <c r="E111" s="50"/>
      <c r="F111" s="61"/>
      <c r="G111" s="48"/>
      <c r="H111" s="48"/>
      <c r="I111" s="48"/>
      <c r="J111" s="48"/>
      <c r="K111" s="48"/>
      <c r="L111" s="48"/>
      <c r="M111" s="81"/>
      <c r="N111" s="53"/>
      <c r="O111" s="53"/>
      <c r="P111" s="50"/>
      <c r="Q111" s="6"/>
      <c r="R111" s="70">
        <f t="shared" si="45"/>
        <v>0</v>
      </c>
      <c r="S111" s="76"/>
      <c r="T111" s="91"/>
      <c r="U111" s="41"/>
      <c r="V111" s="9"/>
      <c r="W111" s="27" t="str">
        <f t="shared" si="70"/>
        <v/>
      </c>
      <c r="X111" s="29" t="str">
        <f t="shared" si="71"/>
        <v/>
      </c>
      <c r="Y111" s="29" t="str">
        <f t="shared" si="71"/>
        <v/>
      </c>
      <c r="Z111" s="29" t="str">
        <f t="shared" si="71"/>
        <v/>
      </c>
      <c r="AA111" s="29" t="str">
        <f t="shared" si="71"/>
        <v/>
      </c>
      <c r="AB111" s="29" t="str">
        <f t="shared" si="71"/>
        <v/>
      </c>
      <c r="AC111" s="29" t="str">
        <f t="shared" si="71"/>
        <v/>
      </c>
      <c r="AD111" s="29" t="str">
        <f t="shared" si="71"/>
        <v/>
      </c>
      <c r="AE111" s="29" t="str">
        <f t="shared" si="71"/>
        <v/>
      </c>
      <c r="AF111" s="29" t="str">
        <f t="shared" si="71"/>
        <v/>
      </c>
      <c r="AG111" s="29" t="str">
        <f t="shared" si="71"/>
        <v/>
      </c>
      <c r="AH111" s="29" t="str">
        <f t="shared" si="71"/>
        <v/>
      </c>
      <c r="AI111" s="29" t="str">
        <f t="shared" si="71"/>
        <v/>
      </c>
      <c r="AJ111" s="30" t="str">
        <f t="shared" si="46"/>
        <v/>
      </c>
      <c r="AL111" s="36">
        <f t="shared" si="68"/>
        <v>0</v>
      </c>
      <c r="AM111" s="36">
        <f t="shared" si="69"/>
        <v>0</v>
      </c>
      <c r="AN111" s="99" t="str">
        <f t="shared" si="49"/>
        <v/>
      </c>
      <c r="AO111" s="99" t="str">
        <f t="shared" si="50"/>
        <v/>
      </c>
      <c r="AP111" s="99" t="str">
        <f t="shared" si="51"/>
        <v/>
      </c>
      <c r="AQ111" s="99" t="str">
        <f t="shared" si="52"/>
        <v/>
      </c>
      <c r="AR111" s="99" t="str">
        <f t="shared" si="53"/>
        <v/>
      </c>
      <c r="AS111" s="99" t="str">
        <f t="shared" si="54"/>
        <v/>
      </c>
      <c r="AT111" s="99" t="str">
        <f t="shared" si="55"/>
        <v/>
      </c>
      <c r="AU111" s="99" t="str">
        <f t="shared" si="56"/>
        <v/>
      </c>
      <c r="AV111" s="99" t="str">
        <f t="shared" si="57"/>
        <v/>
      </c>
      <c r="AW111" s="99" t="str">
        <f t="shared" si="58"/>
        <v/>
      </c>
      <c r="AX111" s="99" t="str">
        <f t="shared" si="59"/>
        <v/>
      </c>
      <c r="AY111" s="99" t="str">
        <f t="shared" si="60"/>
        <v/>
      </c>
      <c r="AZ111" s="99" t="str">
        <f t="shared" si="61"/>
        <v/>
      </c>
      <c r="BA111" s="98" t="str">
        <f t="shared" si="62"/>
        <v/>
      </c>
    </row>
    <row r="112" spans="1:53" ht="15" customHeight="1" thickBot="1" x14ac:dyDescent="0.4">
      <c r="A112" s="114"/>
      <c r="B112" s="4"/>
      <c r="C112" s="58"/>
      <c r="D112" s="49"/>
      <c r="E112" s="58"/>
      <c r="F112" s="62"/>
      <c r="G112" s="49"/>
      <c r="H112" s="49"/>
      <c r="I112" s="49"/>
      <c r="J112" s="49"/>
      <c r="K112" s="49"/>
      <c r="L112" s="49"/>
      <c r="M112" s="82"/>
      <c r="N112" s="54"/>
      <c r="O112" s="54"/>
      <c r="P112" s="58"/>
      <c r="Q112" s="7"/>
      <c r="R112" s="103">
        <f t="shared" si="45"/>
        <v>0</v>
      </c>
      <c r="S112" s="77"/>
      <c r="T112" s="92"/>
      <c r="U112" s="42"/>
      <c r="V112" s="9"/>
      <c r="W112" s="27" t="str">
        <f t="shared" si="70"/>
        <v/>
      </c>
      <c r="X112" s="29" t="str">
        <f t="shared" si="71"/>
        <v/>
      </c>
      <c r="Y112" s="29" t="str">
        <f t="shared" si="71"/>
        <v/>
      </c>
      <c r="Z112" s="29" t="str">
        <f t="shared" si="71"/>
        <v/>
      </c>
      <c r="AA112" s="29" t="str">
        <f t="shared" si="71"/>
        <v/>
      </c>
      <c r="AB112" s="29" t="str">
        <f t="shared" si="71"/>
        <v/>
      </c>
      <c r="AC112" s="29" t="str">
        <f t="shared" si="71"/>
        <v/>
      </c>
      <c r="AD112" s="29" t="str">
        <f t="shared" si="71"/>
        <v/>
      </c>
      <c r="AE112" s="29" t="str">
        <f t="shared" si="71"/>
        <v/>
      </c>
      <c r="AF112" s="29" t="str">
        <f t="shared" si="71"/>
        <v/>
      </c>
      <c r="AG112" s="29" t="str">
        <f t="shared" si="71"/>
        <v/>
      </c>
      <c r="AH112" s="29" t="str">
        <f t="shared" si="71"/>
        <v/>
      </c>
      <c r="AI112" s="29" t="str">
        <f t="shared" si="71"/>
        <v/>
      </c>
      <c r="AJ112" s="30" t="str">
        <f t="shared" si="46"/>
        <v/>
      </c>
      <c r="AL112" s="36">
        <f t="shared" si="68"/>
        <v>0</v>
      </c>
      <c r="AM112" s="36">
        <f t="shared" si="69"/>
        <v>0</v>
      </c>
      <c r="AN112" s="99" t="str">
        <f t="shared" si="49"/>
        <v/>
      </c>
      <c r="AO112" s="99" t="str">
        <f t="shared" si="50"/>
        <v/>
      </c>
      <c r="AP112" s="99" t="str">
        <f t="shared" si="51"/>
        <v/>
      </c>
      <c r="AQ112" s="99" t="str">
        <f t="shared" si="52"/>
        <v/>
      </c>
      <c r="AR112" s="99" t="str">
        <f t="shared" si="53"/>
        <v/>
      </c>
      <c r="AS112" s="99" t="str">
        <f t="shared" si="54"/>
        <v/>
      </c>
      <c r="AT112" s="99" t="str">
        <f t="shared" si="55"/>
        <v/>
      </c>
      <c r="AU112" s="99" t="str">
        <f t="shared" si="56"/>
        <v/>
      </c>
      <c r="AV112" s="99" t="str">
        <f t="shared" si="57"/>
        <v/>
      </c>
      <c r="AW112" s="99" t="str">
        <f t="shared" si="58"/>
        <v/>
      </c>
      <c r="AX112" s="99" t="str">
        <f t="shared" si="59"/>
        <v/>
      </c>
      <c r="AY112" s="99" t="str">
        <f t="shared" si="60"/>
        <v/>
      </c>
      <c r="AZ112" s="99" t="str">
        <f t="shared" si="61"/>
        <v/>
      </c>
      <c r="BA112" s="98" t="str">
        <f t="shared" si="62"/>
        <v/>
      </c>
    </row>
    <row r="113" spans="1:53" ht="15" customHeight="1" x14ac:dyDescent="0.35">
      <c r="A113" s="112">
        <v>19</v>
      </c>
      <c r="B113" s="5"/>
      <c r="C113" s="69"/>
      <c r="D113" s="60"/>
      <c r="E113" s="69"/>
      <c r="F113" s="59"/>
      <c r="G113" s="60"/>
      <c r="H113" s="60"/>
      <c r="I113" s="60"/>
      <c r="J113" s="60"/>
      <c r="K113" s="60"/>
      <c r="L113" s="60"/>
      <c r="M113" s="80"/>
      <c r="N113" s="79"/>
      <c r="O113" s="79"/>
      <c r="P113" s="69"/>
      <c r="Q113" s="8"/>
      <c r="R113" s="70">
        <f t="shared" si="45"/>
        <v>0</v>
      </c>
      <c r="S113" s="76"/>
      <c r="T113" s="90"/>
      <c r="U113" s="40"/>
      <c r="V113" s="9"/>
      <c r="W113" s="27" t="str">
        <f t="shared" si="70"/>
        <v/>
      </c>
      <c r="X113" s="29" t="str">
        <f t="shared" si="71"/>
        <v/>
      </c>
      <c r="Y113" s="29" t="str">
        <f t="shared" si="71"/>
        <v/>
      </c>
      <c r="Z113" s="29" t="str">
        <f t="shared" si="71"/>
        <v/>
      </c>
      <c r="AA113" s="29" t="str">
        <f t="shared" si="71"/>
        <v/>
      </c>
      <c r="AB113" s="29" t="str">
        <f t="shared" si="71"/>
        <v/>
      </c>
      <c r="AC113" s="29" t="str">
        <f t="shared" si="71"/>
        <v/>
      </c>
      <c r="AD113" s="29" t="str">
        <f t="shared" si="71"/>
        <v/>
      </c>
      <c r="AE113" s="29" t="str">
        <f t="shared" si="71"/>
        <v/>
      </c>
      <c r="AF113" s="29" t="str">
        <f t="shared" si="71"/>
        <v/>
      </c>
      <c r="AG113" s="29" t="str">
        <f t="shared" si="71"/>
        <v/>
      </c>
      <c r="AH113" s="29" t="str">
        <f t="shared" si="71"/>
        <v/>
      </c>
      <c r="AI113" s="29" t="str">
        <f t="shared" si="71"/>
        <v/>
      </c>
      <c r="AJ113" s="30" t="str">
        <f t="shared" si="46"/>
        <v/>
      </c>
      <c r="AL113" s="36">
        <f t="shared" si="68"/>
        <v>0</v>
      </c>
      <c r="AM113" s="36">
        <f t="shared" si="69"/>
        <v>0</v>
      </c>
      <c r="AN113" s="99" t="str">
        <f t="shared" si="49"/>
        <v/>
      </c>
      <c r="AO113" s="99" t="str">
        <f t="shared" si="50"/>
        <v/>
      </c>
      <c r="AP113" s="99" t="str">
        <f t="shared" si="51"/>
        <v/>
      </c>
      <c r="AQ113" s="99" t="str">
        <f t="shared" si="52"/>
        <v/>
      </c>
      <c r="AR113" s="99" t="str">
        <f t="shared" si="53"/>
        <v/>
      </c>
      <c r="AS113" s="99" t="str">
        <f t="shared" si="54"/>
        <v/>
      </c>
      <c r="AT113" s="99" t="str">
        <f t="shared" si="55"/>
        <v/>
      </c>
      <c r="AU113" s="99" t="str">
        <f t="shared" si="56"/>
        <v/>
      </c>
      <c r="AV113" s="99" t="str">
        <f t="shared" si="57"/>
        <v/>
      </c>
      <c r="AW113" s="99" t="str">
        <f t="shared" si="58"/>
        <v/>
      </c>
      <c r="AX113" s="99" t="str">
        <f t="shared" si="59"/>
        <v/>
      </c>
      <c r="AY113" s="99" t="str">
        <f t="shared" si="60"/>
        <v/>
      </c>
      <c r="AZ113" s="99" t="str">
        <f t="shared" si="61"/>
        <v/>
      </c>
      <c r="BA113" s="98" t="str">
        <f t="shared" si="62"/>
        <v/>
      </c>
    </row>
    <row r="114" spans="1:53" ht="15" customHeight="1" x14ac:dyDescent="0.35">
      <c r="A114" s="113"/>
      <c r="B114" s="3"/>
      <c r="C114" s="50"/>
      <c r="D114" s="48"/>
      <c r="E114" s="50"/>
      <c r="F114" s="61"/>
      <c r="G114" s="48"/>
      <c r="H114" s="48"/>
      <c r="I114" s="48"/>
      <c r="J114" s="48"/>
      <c r="K114" s="48"/>
      <c r="L114" s="48"/>
      <c r="M114" s="81"/>
      <c r="N114" s="53"/>
      <c r="O114" s="53"/>
      <c r="P114" s="50"/>
      <c r="Q114" s="6"/>
      <c r="R114" s="70">
        <f t="shared" si="45"/>
        <v>0</v>
      </c>
      <c r="S114" s="76"/>
      <c r="T114" s="91"/>
      <c r="U114" s="41"/>
      <c r="V114" s="9"/>
      <c r="W114" s="27" t="str">
        <f t="shared" si="70"/>
        <v/>
      </c>
      <c r="X114" s="29" t="str">
        <f t="shared" si="71"/>
        <v/>
      </c>
      <c r="Y114" s="29" t="str">
        <f t="shared" si="71"/>
        <v/>
      </c>
      <c r="Z114" s="29" t="str">
        <f t="shared" si="71"/>
        <v/>
      </c>
      <c r="AA114" s="29" t="str">
        <f t="shared" si="71"/>
        <v/>
      </c>
      <c r="AB114" s="29" t="str">
        <f t="shared" si="71"/>
        <v/>
      </c>
      <c r="AC114" s="29" t="str">
        <f t="shared" si="71"/>
        <v/>
      </c>
      <c r="AD114" s="29" t="str">
        <f t="shared" si="71"/>
        <v/>
      </c>
      <c r="AE114" s="29" t="str">
        <f t="shared" si="71"/>
        <v/>
      </c>
      <c r="AF114" s="29" t="str">
        <f t="shared" si="71"/>
        <v/>
      </c>
      <c r="AG114" s="29" t="str">
        <f t="shared" si="71"/>
        <v/>
      </c>
      <c r="AH114" s="29" t="str">
        <f t="shared" si="71"/>
        <v/>
      </c>
      <c r="AI114" s="29" t="str">
        <f t="shared" si="71"/>
        <v/>
      </c>
      <c r="AJ114" s="30" t="str">
        <f t="shared" si="46"/>
        <v/>
      </c>
      <c r="AL114" s="36">
        <f t="shared" si="68"/>
        <v>0</v>
      </c>
      <c r="AM114" s="36">
        <f t="shared" si="69"/>
        <v>0</v>
      </c>
      <c r="AN114" s="99" t="str">
        <f t="shared" si="49"/>
        <v/>
      </c>
      <c r="AO114" s="99" t="str">
        <f t="shared" si="50"/>
        <v/>
      </c>
      <c r="AP114" s="99" t="str">
        <f t="shared" si="51"/>
        <v/>
      </c>
      <c r="AQ114" s="99" t="str">
        <f t="shared" si="52"/>
        <v/>
      </c>
      <c r="AR114" s="99" t="str">
        <f t="shared" si="53"/>
        <v/>
      </c>
      <c r="AS114" s="99" t="str">
        <f t="shared" si="54"/>
        <v/>
      </c>
      <c r="AT114" s="99" t="str">
        <f t="shared" si="55"/>
        <v/>
      </c>
      <c r="AU114" s="99" t="str">
        <f t="shared" si="56"/>
        <v/>
      </c>
      <c r="AV114" s="99" t="str">
        <f t="shared" si="57"/>
        <v/>
      </c>
      <c r="AW114" s="99" t="str">
        <f t="shared" si="58"/>
        <v/>
      </c>
      <c r="AX114" s="99" t="str">
        <f t="shared" si="59"/>
        <v/>
      </c>
      <c r="AY114" s="99" t="str">
        <f t="shared" si="60"/>
        <v/>
      </c>
      <c r="AZ114" s="99" t="str">
        <f t="shared" si="61"/>
        <v/>
      </c>
      <c r="BA114" s="98" t="str">
        <f t="shared" si="62"/>
        <v/>
      </c>
    </row>
    <row r="115" spans="1:53" ht="15" customHeight="1" x14ac:dyDescent="0.35">
      <c r="A115" s="113"/>
      <c r="B115" s="3"/>
      <c r="C115" s="50"/>
      <c r="D115" s="48"/>
      <c r="E115" s="50"/>
      <c r="F115" s="61"/>
      <c r="G115" s="48"/>
      <c r="H115" s="48"/>
      <c r="I115" s="48"/>
      <c r="J115" s="48"/>
      <c r="K115" s="48"/>
      <c r="L115" s="48"/>
      <c r="M115" s="81"/>
      <c r="N115" s="53"/>
      <c r="O115" s="53"/>
      <c r="P115" s="50"/>
      <c r="Q115" s="6"/>
      <c r="R115" s="70">
        <f t="shared" si="45"/>
        <v>0</v>
      </c>
      <c r="S115" s="76"/>
      <c r="T115" s="91"/>
      <c r="U115" s="41"/>
      <c r="V115" s="9"/>
      <c r="W115" s="27" t="str">
        <f t="shared" si="70"/>
        <v/>
      </c>
      <c r="X115" s="29" t="str">
        <f t="shared" si="71"/>
        <v/>
      </c>
      <c r="Y115" s="29" t="str">
        <f t="shared" si="71"/>
        <v/>
      </c>
      <c r="Z115" s="29" t="str">
        <f t="shared" si="71"/>
        <v/>
      </c>
      <c r="AA115" s="29" t="str">
        <f t="shared" si="71"/>
        <v/>
      </c>
      <c r="AB115" s="29" t="str">
        <f t="shared" si="71"/>
        <v/>
      </c>
      <c r="AC115" s="29" t="str">
        <f t="shared" si="71"/>
        <v/>
      </c>
      <c r="AD115" s="29" t="str">
        <f t="shared" si="71"/>
        <v/>
      </c>
      <c r="AE115" s="29" t="str">
        <f t="shared" si="71"/>
        <v/>
      </c>
      <c r="AF115" s="29" t="str">
        <f t="shared" si="71"/>
        <v/>
      </c>
      <c r="AG115" s="29" t="str">
        <f t="shared" si="71"/>
        <v/>
      </c>
      <c r="AH115" s="29" t="str">
        <f t="shared" si="71"/>
        <v/>
      </c>
      <c r="AI115" s="29" t="str">
        <f t="shared" si="71"/>
        <v/>
      </c>
      <c r="AJ115" s="30" t="str">
        <f t="shared" si="46"/>
        <v/>
      </c>
      <c r="AL115" s="36">
        <f t="shared" si="68"/>
        <v>0</v>
      </c>
      <c r="AM115" s="36">
        <f t="shared" si="69"/>
        <v>0</v>
      </c>
      <c r="AN115" s="99" t="str">
        <f t="shared" si="49"/>
        <v/>
      </c>
      <c r="AO115" s="99" t="str">
        <f t="shared" si="50"/>
        <v/>
      </c>
      <c r="AP115" s="99" t="str">
        <f t="shared" si="51"/>
        <v/>
      </c>
      <c r="AQ115" s="99" t="str">
        <f t="shared" si="52"/>
        <v/>
      </c>
      <c r="AR115" s="99" t="str">
        <f t="shared" si="53"/>
        <v/>
      </c>
      <c r="AS115" s="99" t="str">
        <f t="shared" si="54"/>
        <v/>
      </c>
      <c r="AT115" s="99" t="str">
        <f t="shared" si="55"/>
        <v/>
      </c>
      <c r="AU115" s="99" t="str">
        <f t="shared" si="56"/>
        <v/>
      </c>
      <c r="AV115" s="99" t="str">
        <f t="shared" si="57"/>
        <v/>
      </c>
      <c r="AW115" s="99" t="str">
        <f t="shared" si="58"/>
        <v/>
      </c>
      <c r="AX115" s="99" t="str">
        <f t="shared" si="59"/>
        <v/>
      </c>
      <c r="AY115" s="99" t="str">
        <f t="shared" si="60"/>
        <v/>
      </c>
      <c r="AZ115" s="99" t="str">
        <f t="shared" si="61"/>
        <v/>
      </c>
      <c r="BA115" s="98" t="str">
        <f t="shared" si="62"/>
        <v/>
      </c>
    </row>
    <row r="116" spans="1:53" ht="15" customHeight="1" x14ac:dyDescent="0.35">
      <c r="A116" s="113"/>
      <c r="B116" s="3"/>
      <c r="C116" s="50"/>
      <c r="D116" s="48"/>
      <c r="E116" s="50"/>
      <c r="F116" s="61"/>
      <c r="G116" s="48"/>
      <c r="H116" s="48"/>
      <c r="I116" s="48"/>
      <c r="J116" s="48"/>
      <c r="K116" s="48"/>
      <c r="L116" s="48"/>
      <c r="M116" s="81"/>
      <c r="N116" s="53"/>
      <c r="O116" s="53"/>
      <c r="P116" s="50"/>
      <c r="Q116" s="6"/>
      <c r="R116" s="70">
        <f t="shared" si="45"/>
        <v>0</v>
      </c>
      <c r="S116" s="76"/>
      <c r="T116" s="91"/>
      <c r="U116" s="41"/>
      <c r="V116" s="9"/>
      <c r="W116" s="27" t="str">
        <f t="shared" si="70"/>
        <v/>
      </c>
      <c r="X116" s="29" t="str">
        <f t="shared" si="71"/>
        <v/>
      </c>
      <c r="Y116" s="29" t="str">
        <f t="shared" si="71"/>
        <v/>
      </c>
      <c r="Z116" s="29" t="str">
        <f t="shared" si="71"/>
        <v/>
      </c>
      <c r="AA116" s="29" t="str">
        <f t="shared" si="71"/>
        <v/>
      </c>
      <c r="AB116" s="29" t="str">
        <f t="shared" si="71"/>
        <v/>
      </c>
      <c r="AC116" s="29" t="str">
        <f t="shared" si="71"/>
        <v/>
      </c>
      <c r="AD116" s="29" t="str">
        <f t="shared" si="71"/>
        <v/>
      </c>
      <c r="AE116" s="29" t="str">
        <f t="shared" si="71"/>
        <v/>
      </c>
      <c r="AF116" s="29" t="str">
        <f t="shared" si="71"/>
        <v/>
      </c>
      <c r="AG116" s="29" t="str">
        <f t="shared" si="71"/>
        <v/>
      </c>
      <c r="AH116" s="29" t="str">
        <f t="shared" si="71"/>
        <v/>
      </c>
      <c r="AI116" s="29" t="str">
        <f t="shared" si="71"/>
        <v/>
      </c>
      <c r="AJ116" s="30" t="str">
        <f t="shared" si="46"/>
        <v/>
      </c>
      <c r="AL116" s="36">
        <f t="shared" si="68"/>
        <v>0</v>
      </c>
      <c r="AM116" s="36">
        <f t="shared" si="69"/>
        <v>0</v>
      </c>
      <c r="AN116" s="99" t="str">
        <f t="shared" si="49"/>
        <v/>
      </c>
      <c r="AO116" s="99" t="str">
        <f t="shared" si="50"/>
        <v/>
      </c>
      <c r="AP116" s="99" t="str">
        <f t="shared" si="51"/>
        <v/>
      </c>
      <c r="AQ116" s="99" t="str">
        <f t="shared" si="52"/>
        <v/>
      </c>
      <c r="AR116" s="99" t="str">
        <f t="shared" si="53"/>
        <v/>
      </c>
      <c r="AS116" s="99" t="str">
        <f t="shared" si="54"/>
        <v/>
      </c>
      <c r="AT116" s="99" t="str">
        <f t="shared" si="55"/>
        <v/>
      </c>
      <c r="AU116" s="99" t="str">
        <f t="shared" si="56"/>
        <v/>
      </c>
      <c r="AV116" s="99" t="str">
        <f t="shared" si="57"/>
        <v/>
      </c>
      <c r="AW116" s="99" t="str">
        <f t="shared" si="58"/>
        <v/>
      </c>
      <c r="AX116" s="99" t="str">
        <f t="shared" si="59"/>
        <v/>
      </c>
      <c r="AY116" s="99" t="str">
        <f t="shared" si="60"/>
        <v/>
      </c>
      <c r="AZ116" s="99" t="str">
        <f t="shared" si="61"/>
        <v/>
      </c>
      <c r="BA116" s="98" t="str">
        <f t="shared" si="62"/>
        <v/>
      </c>
    </row>
    <row r="117" spans="1:53" ht="15" customHeight="1" x14ac:dyDescent="0.35">
      <c r="A117" s="113"/>
      <c r="B117" s="3"/>
      <c r="C117" s="50"/>
      <c r="D117" s="48"/>
      <c r="E117" s="50"/>
      <c r="F117" s="61"/>
      <c r="G117" s="48"/>
      <c r="H117" s="48"/>
      <c r="I117" s="48"/>
      <c r="J117" s="48"/>
      <c r="K117" s="48"/>
      <c r="L117" s="48"/>
      <c r="M117" s="81"/>
      <c r="N117" s="53"/>
      <c r="O117" s="53"/>
      <c r="P117" s="50"/>
      <c r="Q117" s="6"/>
      <c r="R117" s="70">
        <f t="shared" si="45"/>
        <v>0</v>
      </c>
      <c r="S117" s="76"/>
      <c r="T117" s="91"/>
      <c r="U117" s="41"/>
      <c r="V117" s="9"/>
      <c r="W117" s="27" t="str">
        <f t="shared" si="70"/>
        <v/>
      </c>
      <c r="X117" s="29" t="str">
        <f t="shared" si="71"/>
        <v/>
      </c>
      <c r="Y117" s="29" t="str">
        <f t="shared" si="71"/>
        <v/>
      </c>
      <c r="Z117" s="29" t="str">
        <f t="shared" si="71"/>
        <v/>
      </c>
      <c r="AA117" s="29" t="str">
        <f t="shared" si="71"/>
        <v/>
      </c>
      <c r="AB117" s="29" t="str">
        <f t="shared" si="71"/>
        <v/>
      </c>
      <c r="AC117" s="29" t="str">
        <f t="shared" si="71"/>
        <v/>
      </c>
      <c r="AD117" s="29" t="str">
        <f t="shared" si="71"/>
        <v/>
      </c>
      <c r="AE117" s="29" t="str">
        <f t="shared" si="71"/>
        <v/>
      </c>
      <c r="AF117" s="29" t="str">
        <f t="shared" si="71"/>
        <v/>
      </c>
      <c r="AG117" s="29" t="str">
        <f t="shared" si="71"/>
        <v/>
      </c>
      <c r="AH117" s="29" t="str">
        <f t="shared" si="71"/>
        <v/>
      </c>
      <c r="AI117" s="29" t="str">
        <f t="shared" si="71"/>
        <v/>
      </c>
      <c r="AJ117" s="30" t="str">
        <f t="shared" si="46"/>
        <v/>
      </c>
      <c r="AL117" s="36">
        <f t="shared" si="68"/>
        <v>0</v>
      </c>
      <c r="AM117" s="36">
        <f t="shared" si="69"/>
        <v>0</v>
      </c>
      <c r="AN117" s="99" t="str">
        <f t="shared" si="49"/>
        <v/>
      </c>
      <c r="AO117" s="99" t="str">
        <f t="shared" si="50"/>
        <v/>
      </c>
      <c r="AP117" s="99" t="str">
        <f t="shared" si="51"/>
        <v/>
      </c>
      <c r="AQ117" s="99" t="str">
        <f t="shared" si="52"/>
        <v/>
      </c>
      <c r="AR117" s="99" t="str">
        <f t="shared" si="53"/>
        <v/>
      </c>
      <c r="AS117" s="99" t="str">
        <f t="shared" si="54"/>
        <v/>
      </c>
      <c r="AT117" s="99" t="str">
        <f t="shared" si="55"/>
        <v/>
      </c>
      <c r="AU117" s="99" t="str">
        <f t="shared" si="56"/>
        <v/>
      </c>
      <c r="AV117" s="99" t="str">
        <f t="shared" si="57"/>
        <v/>
      </c>
      <c r="AW117" s="99" t="str">
        <f t="shared" si="58"/>
        <v/>
      </c>
      <c r="AX117" s="99" t="str">
        <f t="shared" si="59"/>
        <v/>
      </c>
      <c r="AY117" s="99" t="str">
        <f t="shared" si="60"/>
        <v/>
      </c>
      <c r="AZ117" s="99" t="str">
        <f t="shared" si="61"/>
        <v/>
      </c>
      <c r="BA117" s="98" t="str">
        <f t="shared" si="62"/>
        <v/>
      </c>
    </row>
    <row r="118" spans="1:53" ht="15" customHeight="1" thickBot="1" x14ac:dyDescent="0.4">
      <c r="A118" s="114"/>
      <c r="B118" s="4"/>
      <c r="C118" s="58"/>
      <c r="D118" s="49"/>
      <c r="E118" s="58"/>
      <c r="F118" s="62"/>
      <c r="G118" s="49"/>
      <c r="H118" s="49"/>
      <c r="I118" s="49"/>
      <c r="J118" s="49"/>
      <c r="K118" s="49"/>
      <c r="L118" s="49"/>
      <c r="M118" s="82"/>
      <c r="N118" s="54"/>
      <c r="O118" s="54"/>
      <c r="P118" s="58"/>
      <c r="Q118" s="7"/>
      <c r="R118" s="101">
        <f t="shared" si="45"/>
        <v>0</v>
      </c>
      <c r="S118" s="77"/>
      <c r="T118" s="92"/>
      <c r="U118" s="42"/>
      <c r="V118" s="9"/>
      <c r="W118" s="27" t="str">
        <f t="shared" si="70"/>
        <v/>
      </c>
      <c r="X118" s="29" t="str">
        <f t="shared" si="71"/>
        <v/>
      </c>
      <c r="Y118" s="29" t="str">
        <f t="shared" si="71"/>
        <v/>
      </c>
      <c r="Z118" s="29" t="str">
        <f t="shared" si="71"/>
        <v/>
      </c>
      <c r="AA118" s="29" t="str">
        <f t="shared" si="71"/>
        <v/>
      </c>
      <c r="AB118" s="29" t="str">
        <f t="shared" si="71"/>
        <v/>
      </c>
      <c r="AC118" s="29" t="str">
        <f t="shared" si="71"/>
        <v/>
      </c>
      <c r="AD118" s="29" t="str">
        <f t="shared" si="71"/>
        <v/>
      </c>
      <c r="AE118" s="29" t="str">
        <f t="shared" si="71"/>
        <v/>
      </c>
      <c r="AF118" s="29" t="str">
        <f t="shared" si="71"/>
        <v/>
      </c>
      <c r="AG118" s="29" t="str">
        <f t="shared" si="71"/>
        <v/>
      </c>
      <c r="AH118" s="29" t="str">
        <f t="shared" si="71"/>
        <v/>
      </c>
      <c r="AI118" s="29" t="str">
        <f t="shared" si="71"/>
        <v/>
      </c>
      <c r="AJ118" s="30" t="str">
        <f t="shared" si="46"/>
        <v/>
      </c>
      <c r="AL118" s="36">
        <f t="shared" si="68"/>
        <v>0</v>
      </c>
      <c r="AM118" s="36">
        <f t="shared" si="69"/>
        <v>0</v>
      </c>
      <c r="AN118" s="99" t="str">
        <f t="shared" si="49"/>
        <v/>
      </c>
      <c r="AO118" s="99" t="str">
        <f t="shared" si="50"/>
        <v/>
      </c>
      <c r="AP118" s="99" t="str">
        <f t="shared" si="51"/>
        <v/>
      </c>
      <c r="AQ118" s="99" t="str">
        <f t="shared" si="52"/>
        <v/>
      </c>
      <c r="AR118" s="99" t="str">
        <f t="shared" si="53"/>
        <v/>
      </c>
      <c r="AS118" s="99" t="str">
        <f t="shared" si="54"/>
        <v/>
      </c>
      <c r="AT118" s="99" t="str">
        <f t="shared" si="55"/>
        <v/>
      </c>
      <c r="AU118" s="99" t="str">
        <f t="shared" si="56"/>
        <v/>
      </c>
      <c r="AV118" s="99" t="str">
        <f t="shared" si="57"/>
        <v/>
      </c>
      <c r="AW118" s="99" t="str">
        <f t="shared" si="58"/>
        <v/>
      </c>
      <c r="AX118" s="99" t="str">
        <f t="shared" si="59"/>
        <v/>
      </c>
      <c r="AY118" s="99" t="str">
        <f t="shared" si="60"/>
        <v/>
      </c>
      <c r="AZ118" s="99" t="str">
        <f t="shared" si="61"/>
        <v/>
      </c>
      <c r="BA118" s="98" t="str">
        <f t="shared" si="62"/>
        <v/>
      </c>
    </row>
    <row r="119" spans="1:53" ht="15" customHeight="1" x14ac:dyDescent="0.35">
      <c r="A119" s="112">
        <v>20</v>
      </c>
      <c r="B119" s="5"/>
      <c r="C119" s="69"/>
      <c r="D119" s="60"/>
      <c r="E119" s="69"/>
      <c r="F119" s="59"/>
      <c r="G119" s="60"/>
      <c r="H119" s="60"/>
      <c r="I119" s="60"/>
      <c r="J119" s="60"/>
      <c r="K119" s="60"/>
      <c r="L119" s="60"/>
      <c r="M119" s="80"/>
      <c r="N119" s="79"/>
      <c r="O119" s="79"/>
      <c r="P119" s="69"/>
      <c r="Q119" s="8"/>
      <c r="R119" s="102">
        <f t="shared" si="45"/>
        <v>0</v>
      </c>
      <c r="S119" s="76"/>
      <c r="T119" s="90"/>
      <c r="U119" s="40"/>
      <c r="V119" s="9"/>
      <c r="W119" s="27" t="str">
        <f t="shared" si="70"/>
        <v/>
      </c>
      <c r="X119" s="29" t="str">
        <f t="shared" si="71"/>
        <v/>
      </c>
      <c r="Y119" s="29" t="str">
        <f t="shared" si="71"/>
        <v/>
      </c>
      <c r="Z119" s="29" t="str">
        <f t="shared" si="71"/>
        <v/>
      </c>
      <c r="AA119" s="29" t="str">
        <f t="shared" si="71"/>
        <v/>
      </c>
      <c r="AB119" s="29" t="str">
        <f t="shared" si="71"/>
        <v/>
      </c>
      <c r="AC119" s="29" t="str">
        <f t="shared" si="71"/>
        <v/>
      </c>
      <c r="AD119" s="29" t="str">
        <f t="shared" si="71"/>
        <v/>
      </c>
      <c r="AE119" s="29" t="str">
        <f t="shared" si="71"/>
        <v/>
      </c>
      <c r="AF119" s="29" t="str">
        <f t="shared" si="71"/>
        <v/>
      </c>
      <c r="AG119" s="29" t="str">
        <f t="shared" si="71"/>
        <v/>
      </c>
      <c r="AH119" s="29" t="str">
        <f t="shared" si="71"/>
        <v/>
      </c>
      <c r="AI119" s="29" t="str">
        <f t="shared" si="71"/>
        <v/>
      </c>
      <c r="AJ119" s="30" t="str">
        <f t="shared" si="46"/>
        <v/>
      </c>
      <c r="AL119" s="36">
        <f t="shared" si="68"/>
        <v>0</v>
      </c>
      <c r="AM119" s="36">
        <f t="shared" si="69"/>
        <v>0</v>
      </c>
      <c r="AN119" s="99" t="str">
        <f t="shared" si="49"/>
        <v/>
      </c>
      <c r="AO119" s="99" t="str">
        <f t="shared" si="50"/>
        <v/>
      </c>
      <c r="AP119" s="99" t="str">
        <f t="shared" si="51"/>
        <v/>
      </c>
      <c r="AQ119" s="99" t="str">
        <f t="shared" si="52"/>
        <v/>
      </c>
      <c r="AR119" s="99" t="str">
        <f t="shared" si="53"/>
        <v/>
      </c>
      <c r="AS119" s="99" t="str">
        <f t="shared" si="54"/>
        <v/>
      </c>
      <c r="AT119" s="99" t="str">
        <f t="shared" si="55"/>
        <v/>
      </c>
      <c r="AU119" s="99" t="str">
        <f t="shared" si="56"/>
        <v/>
      </c>
      <c r="AV119" s="99" t="str">
        <f t="shared" si="57"/>
        <v/>
      </c>
      <c r="AW119" s="99" t="str">
        <f t="shared" si="58"/>
        <v/>
      </c>
      <c r="AX119" s="99" t="str">
        <f t="shared" si="59"/>
        <v/>
      </c>
      <c r="AY119" s="99" t="str">
        <f t="shared" si="60"/>
        <v/>
      </c>
      <c r="AZ119" s="99" t="str">
        <f t="shared" si="61"/>
        <v/>
      </c>
      <c r="BA119" s="98" t="str">
        <f t="shared" si="62"/>
        <v/>
      </c>
    </row>
    <row r="120" spans="1:53" ht="15" customHeight="1" x14ac:dyDescent="0.35">
      <c r="A120" s="113"/>
      <c r="B120" s="3"/>
      <c r="C120" s="50"/>
      <c r="D120" s="48"/>
      <c r="E120" s="50"/>
      <c r="F120" s="61"/>
      <c r="G120" s="48"/>
      <c r="H120" s="48"/>
      <c r="I120" s="48"/>
      <c r="J120" s="48"/>
      <c r="K120" s="48"/>
      <c r="L120" s="48"/>
      <c r="M120" s="81"/>
      <c r="N120" s="53"/>
      <c r="O120" s="53"/>
      <c r="P120" s="50"/>
      <c r="Q120" s="6"/>
      <c r="R120" s="70">
        <f t="shared" si="45"/>
        <v>0</v>
      </c>
      <c r="S120" s="76"/>
      <c r="T120" s="91"/>
      <c r="U120" s="41"/>
      <c r="V120" s="9"/>
      <c r="W120" s="27" t="str">
        <f t="shared" si="70"/>
        <v/>
      </c>
      <c r="X120" s="29" t="str">
        <f t="shared" si="71"/>
        <v/>
      </c>
      <c r="Y120" s="29" t="str">
        <f t="shared" si="71"/>
        <v/>
      </c>
      <c r="Z120" s="29" t="str">
        <f t="shared" si="71"/>
        <v/>
      </c>
      <c r="AA120" s="29" t="str">
        <f t="shared" si="71"/>
        <v/>
      </c>
      <c r="AB120" s="29" t="str">
        <f t="shared" si="71"/>
        <v/>
      </c>
      <c r="AC120" s="29" t="str">
        <f t="shared" si="71"/>
        <v/>
      </c>
      <c r="AD120" s="29" t="str">
        <f t="shared" si="71"/>
        <v/>
      </c>
      <c r="AE120" s="29" t="str">
        <f t="shared" si="71"/>
        <v/>
      </c>
      <c r="AF120" s="29" t="str">
        <f t="shared" si="71"/>
        <v/>
      </c>
      <c r="AG120" s="29" t="str">
        <f t="shared" si="71"/>
        <v/>
      </c>
      <c r="AH120" s="29" t="str">
        <f t="shared" si="71"/>
        <v/>
      </c>
      <c r="AI120" s="29" t="str">
        <f t="shared" si="71"/>
        <v/>
      </c>
      <c r="AJ120" s="30" t="str">
        <f t="shared" si="46"/>
        <v/>
      </c>
      <c r="AL120" s="36">
        <f t="shared" si="68"/>
        <v>0</v>
      </c>
      <c r="AM120" s="36">
        <f t="shared" si="69"/>
        <v>0</v>
      </c>
      <c r="AN120" s="99" t="str">
        <f t="shared" si="49"/>
        <v/>
      </c>
      <c r="AO120" s="99" t="str">
        <f t="shared" si="50"/>
        <v/>
      </c>
      <c r="AP120" s="99" t="str">
        <f t="shared" si="51"/>
        <v/>
      </c>
      <c r="AQ120" s="99" t="str">
        <f t="shared" si="52"/>
        <v/>
      </c>
      <c r="AR120" s="99" t="str">
        <f t="shared" si="53"/>
        <v/>
      </c>
      <c r="AS120" s="99" t="str">
        <f t="shared" si="54"/>
        <v/>
      </c>
      <c r="AT120" s="99" t="str">
        <f t="shared" si="55"/>
        <v/>
      </c>
      <c r="AU120" s="99" t="str">
        <f t="shared" si="56"/>
        <v/>
      </c>
      <c r="AV120" s="99" t="str">
        <f t="shared" si="57"/>
        <v/>
      </c>
      <c r="AW120" s="99" t="str">
        <f t="shared" si="58"/>
        <v/>
      </c>
      <c r="AX120" s="99" t="str">
        <f t="shared" si="59"/>
        <v/>
      </c>
      <c r="AY120" s="99" t="str">
        <f t="shared" si="60"/>
        <v/>
      </c>
      <c r="AZ120" s="99" t="str">
        <f t="shared" si="61"/>
        <v/>
      </c>
      <c r="BA120" s="98" t="str">
        <f t="shared" si="62"/>
        <v/>
      </c>
    </row>
    <row r="121" spans="1:53" ht="15" customHeight="1" x14ac:dyDescent="0.35">
      <c r="A121" s="113"/>
      <c r="B121" s="3"/>
      <c r="C121" s="50"/>
      <c r="D121" s="48"/>
      <c r="E121" s="50"/>
      <c r="F121" s="61"/>
      <c r="G121" s="48"/>
      <c r="H121" s="48"/>
      <c r="I121" s="48"/>
      <c r="J121" s="48"/>
      <c r="K121" s="48"/>
      <c r="L121" s="48"/>
      <c r="M121" s="81"/>
      <c r="N121" s="53"/>
      <c r="O121" s="53"/>
      <c r="P121" s="50"/>
      <c r="Q121" s="6"/>
      <c r="R121" s="70">
        <f t="shared" si="45"/>
        <v>0</v>
      </c>
      <c r="S121" s="76"/>
      <c r="T121" s="91"/>
      <c r="U121" s="41"/>
      <c r="V121" s="9"/>
      <c r="W121" s="27" t="str">
        <f t="shared" si="70"/>
        <v/>
      </c>
      <c r="X121" s="29" t="str">
        <f t="shared" si="71"/>
        <v/>
      </c>
      <c r="Y121" s="29" t="str">
        <f t="shared" si="71"/>
        <v/>
      </c>
      <c r="Z121" s="29" t="str">
        <f t="shared" si="71"/>
        <v/>
      </c>
      <c r="AA121" s="29" t="str">
        <f t="shared" si="71"/>
        <v/>
      </c>
      <c r="AB121" s="29" t="str">
        <f t="shared" si="71"/>
        <v/>
      </c>
      <c r="AC121" s="29" t="str">
        <f t="shared" si="71"/>
        <v/>
      </c>
      <c r="AD121" s="29" t="str">
        <f t="shared" si="71"/>
        <v/>
      </c>
      <c r="AE121" s="29" t="str">
        <f t="shared" si="71"/>
        <v/>
      </c>
      <c r="AF121" s="29" t="str">
        <f t="shared" si="71"/>
        <v/>
      </c>
      <c r="AG121" s="29" t="str">
        <f t="shared" si="71"/>
        <v/>
      </c>
      <c r="AH121" s="29" t="str">
        <f t="shared" si="71"/>
        <v/>
      </c>
      <c r="AI121" s="29" t="str">
        <f t="shared" si="71"/>
        <v/>
      </c>
      <c r="AJ121" s="30" t="str">
        <f t="shared" si="46"/>
        <v/>
      </c>
      <c r="AL121" s="36">
        <f t="shared" si="68"/>
        <v>0</v>
      </c>
      <c r="AM121" s="36">
        <f t="shared" si="69"/>
        <v>0</v>
      </c>
      <c r="AN121" s="99" t="str">
        <f t="shared" si="49"/>
        <v/>
      </c>
      <c r="AO121" s="99" t="str">
        <f t="shared" si="50"/>
        <v/>
      </c>
      <c r="AP121" s="99" t="str">
        <f t="shared" si="51"/>
        <v/>
      </c>
      <c r="AQ121" s="99" t="str">
        <f t="shared" si="52"/>
        <v/>
      </c>
      <c r="AR121" s="99" t="str">
        <f t="shared" si="53"/>
        <v/>
      </c>
      <c r="AS121" s="99" t="str">
        <f t="shared" si="54"/>
        <v/>
      </c>
      <c r="AT121" s="99" t="str">
        <f t="shared" si="55"/>
        <v/>
      </c>
      <c r="AU121" s="99" t="str">
        <f t="shared" si="56"/>
        <v/>
      </c>
      <c r="AV121" s="99" t="str">
        <f t="shared" si="57"/>
        <v/>
      </c>
      <c r="AW121" s="99" t="str">
        <f t="shared" si="58"/>
        <v/>
      </c>
      <c r="AX121" s="99" t="str">
        <f t="shared" si="59"/>
        <v/>
      </c>
      <c r="AY121" s="99" t="str">
        <f t="shared" si="60"/>
        <v/>
      </c>
      <c r="AZ121" s="99" t="str">
        <f t="shared" si="61"/>
        <v/>
      </c>
      <c r="BA121" s="98" t="str">
        <f t="shared" si="62"/>
        <v/>
      </c>
    </row>
    <row r="122" spans="1:53" ht="15" customHeight="1" x14ac:dyDescent="0.35">
      <c r="A122" s="113"/>
      <c r="B122" s="3"/>
      <c r="C122" s="50"/>
      <c r="D122" s="48"/>
      <c r="E122" s="50"/>
      <c r="F122" s="61"/>
      <c r="G122" s="48"/>
      <c r="H122" s="48"/>
      <c r="I122" s="48"/>
      <c r="J122" s="48"/>
      <c r="K122" s="48"/>
      <c r="L122" s="48"/>
      <c r="M122" s="81"/>
      <c r="N122" s="53"/>
      <c r="O122" s="53"/>
      <c r="P122" s="50"/>
      <c r="Q122" s="6"/>
      <c r="R122" s="70">
        <f t="shared" si="45"/>
        <v>0</v>
      </c>
      <c r="S122" s="76"/>
      <c r="T122" s="91"/>
      <c r="U122" s="41"/>
      <c r="V122" s="9"/>
      <c r="W122" s="27" t="str">
        <f t="shared" si="70"/>
        <v/>
      </c>
      <c r="X122" s="29" t="str">
        <f t="shared" si="71"/>
        <v/>
      </c>
      <c r="Y122" s="29" t="str">
        <f t="shared" si="71"/>
        <v/>
      </c>
      <c r="Z122" s="29" t="str">
        <f t="shared" si="71"/>
        <v/>
      </c>
      <c r="AA122" s="29" t="str">
        <f t="shared" si="71"/>
        <v/>
      </c>
      <c r="AB122" s="29" t="str">
        <f t="shared" si="71"/>
        <v/>
      </c>
      <c r="AC122" s="29" t="str">
        <f t="shared" si="71"/>
        <v/>
      </c>
      <c r="AD122" s="29" t="str">
        <f t="shared" si="71"/>
        <v/>
      </c>
      <c r="AE122" s="29" t="str">
        <f t="shared" si="71"/>
        <v/>
      </c>
      <c r="AF122" s="29" t="str">
        <f t="shared" si="71"/>
        <v/>
      </c>
      <c r="AG122" s="29" t="str">
        <f t="shared" si="71"/>
        <v/>
      </c>
      <c r="AH122" s="29" t="str">
        <f t="shared" si="71"/>
        <v/>
      </c>
      <c r="AI122" s="29" t="str">
        <f t="shared" si="71"/>
        <v/>
      </c>
      <c r="AJ122" s="30" t="str">
        <f t="shared" si="46"/>
        <v/>
      </c>
      <c r="AL122" s="36">
        <f t="shared" si="68"/>
        <v>0</v>
      </c>
      <c r="AM122" s="36">
        <f t="shared" si="69"/>
        <v>0</v>
      </c>
      <c r="AN122" s="99" t="str">
        <f t="shared" si="49"/>
        <v/>
      </c>
      <c r="AO122" s="99" t="str">
        <f t="shared" si="50"/>
        <v/>
      </c>
      <c r="AP122" s="99" t="str">
        <f t="shared" si="51"/>
        <v/>
      </c>
      <c r="AQ122" s="99" t="str">
        <f t="shared" si="52"/>
        <v/>
      </c>
      <c r="AR122" s="99" t="str">
        <f t="shared" si="53"/>
        <v/>
      </c>
      <c r="AS122" s="99" t="str">
        <f t="shared" si="54"/>
        <v/>
      </c>
      <c r="AT122" s="99" t="str">
        <f t="shared" si="55"/>
        <v/>
      </c>
      <c r="AU122" s="99" t="str">
        <f t="shared" si="56"/>
        <v/>
      </c>
      <c r="AV122" s="99" t="str">
        <f t="shared" si="57"/>
        <v/>
      </c>
      <c r="AW122" s="99" t="str">
        <f t="shared" si="58"/>
        <v/>
      </c>
      <c r="AX122" s="99" t="str">
        <f t="shared" si="59"/>
        <v/>
      </c>
      <c r="AY122" s="99" t="str">
        <f t="shared" si="60"/>
        <v/>
      </c>
      <c r="AZ122" s="99" t="str">
        <f t="shared" si="61"/>
        <v/>
      </c>
      <c r="BA122" s="98" t="str">
        <f t="shared" si="62"/>
        <v/>
      </c>
    </row>
    <row r="123" spans="1:53" ht="15" customHeight="1" x14ac:dyDescent="0.35">
      <c r="A123" s="113"/>
      <c r="B123" s="3"/>
      <c r="C123" s="50"/>
      <c r="D123" s="48"/>
      <c r="E123" s="50"/>
      <c r="F123" s="61"/>
      <c r="G123" s="48"/>
      <c r="H123" s="48"/>
      <c r="I123" s="48"/>
      <c r="J123" s="48"/>
      <c r="K123" s="48"/>
      <c r="L123" s="48"/>
      <c r="M123" s="81"/>
      <c r="N123" s="53"/>
      <c r="O123" s="53"/>
      <c r="P123" s="50"/>
      <c r="Q123" s="6"/>
      <c r="R123" s="70">
        <f t="shared" si="45"/>
        <v>0</v>
      </c>
      <c r="S123" s="76"/>
      <c r="T123" s="91"/>
      <c r="U123" s="41"/>
      <c r="V123" s="9"/>
      <c r="W123" s="27" t="str">
        <f t="shared" si="70"/>
        <v/>
      </c>
      <c r="X123" s="29" t="str">
        <f t="shared" si="71"/>
        <v/>
      </c>
      <c r="Y123" s="29" t="str">
        <f t="shared" si="71"/>
        <v/>
      </c>
      <c r="Z123" s="29" t="str">
        <f t="shared" si="71"/>
        <v/>
      </c>
      <c r="AA123" s="29" t="str">
        <f t="shared" si="71"/>
        <v/>
      </c>
      <c r="AB123" s="29" t="str">
        <f t="shared" si="71"/>
        <v/>
      </c>
      <c r="AC123" s="29" t="str">
        <f t="shared" si="71"/>
        <v/>
      </c>
      <c r="AD123" s="29" t="str">
        <f t="shared" si="71"/>
        <v/>
      </c>
      <c r="AE123" s="29" t="str">
        <f t="shared" si="71"/>
        <v/>
      </c>
      <c r="AF123" s="29" t="str">
        <f t="shared" si="71"/>
        <v/>
      </c>
      <c r="AG123" s="29" t="str">
        <f t="shared" si="71"/>
        <v/>
      </c>
      <c r="AH123" s="29" t="str">
        <f t="shared" si="71"/>
        <v/>
      </c>
      <c r="AI123" s="29" t="str">
        <f t="shared" si="71"/>
        <v/>
      </c>
      <c r="AJ123" s="30" t="str">
        <f t="shared" si="46"/>
        <v/>
      </c>
      <c r="AL123" s="36">
        <f t="shared" si="68"/>
        <v>0</v>
      </c>
      <c r="AM123" s="36">
        <f t="shared" si="69"/>
        <v>0</v>
      </c>
      <c r="AN123" s="99" t="str">
        <f t="shared" si="49"/>
        <v/>
      </c>
      <c r="AO123" s="99" t="str">
        <f t="shared" si="50"/>
        <v/>
      </c>
      <c r="AP123" s="99" t="str">
        <f t="shared" si="51"/>
        <v/>
      </c>
      <c r="AQ123" s="99" t="str">
        <f t="shared" si="52"/>
        <v/>
      </c>
      <c r="AR123" s="99" t="str">
        <f t="shared" si="53"/>
        <v/>
      </c>
      <c r="AS123" s="99" t="str">
        <f t="shared" si="54"/>
        <v/>
      </c>
      <c r="AT123" s="99" t="str">
        <f t="shared" si="55"/>
        <v/>
      </c>
      <c r="AU123" s="99" t="str">
        <f t="shared" si="56"/>
        <v/>
      </c>
      <c r="AV123" s="99" t="str">
        <f t="shared" si="57"/>
        <v/>
      </c>
      <c r="AW123" s="99" t="str">
        <f t="shared" si="58"/>
        <v/>
      </c>
      <c r="AX123" s="99" t="str">
        <f t="shared" si="59"/>
        <v/>
      </c>
      <c r="AY123" s="99" t="str">
        <f t="shared" si="60"/>
        <v/>
      </c>
      <c r="AZ123" s="99" t="str">
        <f t="shared" si="61"/>
        <v/>
      </c>
      <c r="BA123" s="98" t="str">
        <f t="shared" si="62"/>
        <v/>
      </c>
    </row>
    <row r="124" spans="1:53" ht="15" customHeight="1" thickBot="1" x14ac:dyDescent="0.4">
      <c r="A124" s="114"/>
      <c r="B124" s="4"/>
      <c r="C124" s="58"/>
      <c r="D124" s="49"/>
      <c r="E124" s="58"/>
      <c r="F124" s="62"/>
      <c r="G124" s="49"/>
      <c r="H124" s="49"/>
      <c r="I124" s="49"/>
      <c r="J124" s="49"/>
      <c r="K124" s="49"/>
      <c r="L124" s="49"/>
      <c r="M124" s="82"/>
      <c r="N124" s="54"/>
      <c r="O124" s="54"/>
      <c r="P124" s="58"/>
      <c r="Q124" s="7"/>
      <c r="R124" s="103">
        <f t="shared" si="45"/>
        <v>0</v>
      </c>
      <c r="S124" s="89"/>
      <c r="T124" s="92"/>
      <c r="U124" s="42"/>
      <c r="V124" s="9"/>
      <c r="W124" s="27" t="str">
        <f t="shared" si="70"/>
        <v/>
      </c>
      <c r="X124" s="29" t="str">
        <f t="shared" si="71"/>
        <v/>
      </c>
      <c r="Y124" s="29" t="str">
        <f t="shared" si="71"/>
        <v/>
      </c>
      <c r="Z124" s="29" t="str">
        <f t="shared" si="71"/>
        <v/>
      </c>
      <c r="AA124" s="29" t="str">
        <f t="shared" si="71"/>
        <v/>
      </c>
      <c r="AB124" s="29" t="str">
        <f t="shared" si="71"/>
        <v/>
      </c>
      <c r="AC124" s="29" t="str">
        <f t="shared" si="71"/>
        <v/>
      </c>
      <c r="AD124" s="29" t="str">
        <f t="shared" si="71"/>
        <v/>
      </c>
      <c r="AE124" s="29" t="str">
        <f t="shared" si="71"/>
        <v/>
      </c>
      <c r="AF124" s="29" t="str">
        <f t="shared" si="71"/>
        <v/>
      </c>
      <c r="AG124" s="29" t="str">
        <f t="shared" si="71"/>
        <v/>
      </c>
      <c r="AH124" s="29" t="str">
        <f t="shared" si="71"/>
        <v/>
      </c>
      <c r="AI124" s="29" t="str">
        <f t="shared" si="71"/>
        <v/>
      </c>
      <c r="AJ124" s="30" t="str">
        <f t="shared" si="46"/>
        <v/>
      </c>
      <c r="AL124" s="36">
        <f t="shared" si="68"/>
        <v>0</v>
      </c>
      <c r="AM124" s="36">
        <f t="shared" si="69"/>
        <v>0</v>
      </c>
      <c r="AN124" s="99" t="str">
        <f t="shared" si="49"/>
        <v/>
      </c>
      <c r="AO124" s="99" t="str">
        <f t="shared" si="50"/>
        <v/>
      </c>
      <c r="AP124" s="99" t="str">
        <f t="shared" si="51"/>
        <v/>
      </c>
      <c r="AQ124" s="99" t="str">
        <f t="shared" si="52"/>
        <v/>
      </c>
      <c r="AR124" s="99" t="str">
        <f t="shared" si="53"/>
        <v/>
      </c>
      <c r="AS124" s="99" t="str">
        <f t="shared" si="54"/>
        <v/>
      </c>
      <c r="AT124" s="99" t="str">
        <f t="shared" si="55"/>
        <v/>
      </c>
      <c r="AU124" s="99" t="str">
        <f t="shared" si="56"/>
        <v/>
      </c>
      <c r="AV124" s="99" t="str">
        <f t="shared" si="57"/>
        <v/>
      </c>
      <c r="AW124" s="99" t="str">
        <f t="shared" si="58"/>
        <v/>
      </c>
      <c r="AX124" s="99" t="str">
        <f t="shared" si="59"/>
        <v/>
      </c>
      <c r="AY124" s="99" t="str">
        <f t="shared" si="60"/>
        <v/>
      </c>
      <c r="AZ124" s="99" t="str">
        <f t="shared" si="61"/>
        <v/>
      </c>
      <c r="BA124" s="98" t="str">
        <f>IF(ISNUMBER(AJ124),ROUND(2*AVERAGE(AN124:AZ124),0)/2,"")</f>
        <v/>
      </c>
    </row>
  </sheetData>
  <protectedRanges>
    <protectedRange sqref="N5:N10 N12:N124 Q5:Q124 A5:E124 O7:O124 F6:G6 O5 P12:P124 P5:P10 F7:M124 F5:M5" name="Plage1"/>
    <protectedRange sqref="F3:M4" name="Plage2"/>
    <protectedRange sqref="T5:U124" name="Plage3"/>
  </protectedRanges>
  <mergeCells count="88">
    <mergeCell ref="T65:T70"/>
    <mergeCell ref="U65:U70"/>
    <mergeCell ref="T71:T76"/>
    <mergeCell ref="U71:U76"/>
    <mergeCell ref="T47:T52"/>
    <mergeCell ref="U47:U52"/>
    <mergeCell ref="T53:T58"/>
    <mergeCell ref="U53:U58"/>
    <mergeCell ref="T59:T64"/>
    <mergeCell ref="U59:U64"/>
    <mergeCell ref="T41:T46"/>
    <mergeCell ref="T5:T10"/>
    <mergeCell ref="U5:U10"/>
    <mergeCell ref="T11:T16"/>
    <mergeCell ref="U11:U16"/>
    <mergeCell ref="T23:T28"/>
    <mergeCell ref="U29:U34"/>
    <mergeCell ref="U41:U46"/>
    <mergeCell ref="T17:T22"/>
    <mergeCell ref="U17:U22"/>
    <mergeCell ref="U23:U28"/>
    <mergeCell ref="BA1:BA4"/>
    <mergeCell ref="T35:T40"/>
    <mergeCell ref="U35:U40"/>
    <mergeCell ref="T29:T34"/>
    <mergeCell ref="AJ1:AJ3"/>
    <mergeCell ref="AD1:AD2"/>
    <mergeCell ref="AC1:AC2"/>
    <mergeCell ref="AB1:AB2"/>
    <mergeCell ref="AA1:AA2"/>
    <mergeCell ref="Z1:Z2"/>
    <mergeCell ref="Y1:Y2"/>
    <mergeCell ref="X1:X2"/>
    <mergeCell ref="AH1:AH2"/>
    <mergeCell ref="AN1:AN4"/>
    <mergeCell ref="AO1:AO4"/>
    <mergeCell ref="AP1:AP4"/>
    <mergeCell ref="R1:R4"/>
    <mergeCell ref="AY1:AY4"/>
    <mergeCell ref="AZ1:AZ4"/>
    <mergeCell ref="AX1:AX4"/>
    <mergeCell ref="AG1:AG2"/>
    <mergeCell ref="AF1:AF2"/>
    <mergeCell ref="AE1:AE2"/>
    <mergeCell ref="AI1:AI2"/>
    <mergeCell ref="W1:W4"/>
    <mergeCell ref="U1:U3"/>
    <mergeCell ref="T1:T3"/>
    <mergeCell ref="S1:S4"/>
    <mergeCell ref="AV1:AV4"/>
    <mergeCell ref="AW1:AW4"/>
    <mergeCell ref="AQ1:AQ4"/>
    <mergeCell ref="AR1:AR4"/>
    <mergeCell ref="Q2:Q4"/>
    <mergeCell ref="A5:A10"/>
    <mergeCell ref="N2:N3"/>
    <mergeCell ref="B1:B4"/>
    <mergeCell ref="C1:M1"/>
    <mergeCell ref="D2:D3"/>
    <mergeCell ref="E2:E3"/>
    <mergeCell ref="C2:C3"/>
    <mergeCell ref="F2:M2"/>
    <mergeCell ref="O2:O3"/>
    <mergeCell ref="P2:P3"/>
    <mergeCell ref="N1:Q1"/>
    <mergeCell ref="A1:A4"/>
    <mergeCell ref="A35:A40"/>
    <mergeCell ref="A41:A46"/>
    <mergeCell ref="A47:A52"/>
    <mergeCell ref="A23:A28"/>
    <mergeCell ref="A11:A16"/>
    <mergeCell ref="A17:A22"/>
    <mergeCell ref="AS1:AS4"/>
    <mergeCell ref="AT1:AT4"/>
    <mergeCell ref="AU1:AU4"/>
    <mergeCell ref="A113:A118"/>
    <mergeCell ref="A119:A124"/>
    <mergeCell ref="A83:A88"/>
    <mergeCell ref="A89:A94"/>
    <mergeCell ref="A95:A100"/>
    <mergeCell ref="A101:A106"/>
    <mergeCell ref="A107:A112"/>
    <mergeCell ref="A53:A58"/>
    <mergeCell ref="A59:A64"/>
    <mergeCell ref="A65:A70"/>
    <mergeCell ref="A71:A76"/>
    <mergeCell ref="A77:A82"/>
    <mergeCell ref="A29:A34"/>
  </mergeCells>
  <conditionalFormatting sqref="R5:S124">
    <cfRule type="containsBlanks" priority="1" stopIfTrue="1">
      <formula>LEN(TRIM(R5))=0</formula>
    </cfRule>
    <cfRule type="cellIs" dxfId="1" priority="2" operator="lessThan">
      <formula>10</formula>
    </cfRule>
    <cfRule type="cellIs" dxfId="0" priority="3" operator="greaterThanOrEqual">
      <formula>10</formula>
    </cfRule>
  </conditionalFormatting>
  <dataValidations count="2">
    <dataValidation type="decimal" allowBlank="1" showInputMessage="1" showErrorMessage="1" sqref="Q5:Q124" xr:uid="{4F355A65-FD88-4F26-A8B1-FDBD17028E8C}">
      <formula1>-20</formula1>
      <formula2>20</formula2>
    </dataValidation>
    <dataValidation type="decimal" allowBlank="1" showInputMessage="1" showErrorMessage="1" sqref="C5:P124" xr:uid="{034BE295-F85D-49D6-B0EB-614FC565A11A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6d038-f885-4c11-9a2b-cd35267091ef">
      <Terms xmlns="http://schemas.microsoft.com/office/infopath/2007/PartnerControls"/>
    </lcf76f155ced4ddcb4097134ff3c332f>
    <TaxCatchAll xmlns="7e34ea8a-b6a2-4c98-b7f4-f6762df49ee2" xsi:nil="true"/>
    <_ip_UnifiedCompliancePolicyUIAction xmlns="http://schemas.microsoft.com/sharepoint/v3" xsi:nil="true"/>
    <Diffusable xmlns="5516d038-f885-4c11-9a2b-cd35267091ef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2D7C00EF3CC4A83ECA0A489E9DDAE" ma:contentTypeVersion="23" ma:contentTypeDescription="Crée un document." ma:contentTypeScope="" ma:versionID="4df79e1bf7c050f8526719425ecdaf88">
  <xsd:schema xmlns:xsd="http://www.w3.org/2001/XMLSchema" xmlns:xs="http://www.w3.org/2001/XMLSchema" xmlns:p="http://schemas.microsoft.com/office/2006/metadata/properties" xmlns:ns1="http://schemas.microsoft.com/sharepoint/v3" xmlns:ns2="5516d038-f885-4c11-9a2b-cd35267091ef" xmlns:ns3="7e34ea8a-b6a2-4c98-b7f4-f6762df49ee2" targetNamespace="http://schemas.microsoft.com/office/2006/metadata/properties" ma:root="true" ma:fieldsID="0752d06c36f8bd610269c8af8e803b76" ns1:_="" ns2:_="" ns3:_="">
    <xsd:import namespace="http://schemas.microsoft.com/sharepoint/v3"/>
    <xsd:import namespace="5516d038-f885-4c11-9a2b-cd35267091ef"/>
    <xsd:import namespace="7e34ea8a-b6a2-4c98-b7f4-f6762df49e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iffusable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6d038-f885-4c11-9a2b-cd3526709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Diffusable" ma:index="14" nillable="true" ma:displayName="Diffusable" ma:format="Dropdown" ma:internalName="Diffusable">
      <xsd:simpleType>
        <xsd:restriction base="dms:Choice">
          <xsd:enumeration value="Diffusable"/>
          <xsd:enumeration value="Partiellement diffusable"/>
          <xsd:enumeration value="Non diffusable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58a496c-38be-48e6-95fa-69f91427c4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probateu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é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éateur de l’approbation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Statut d’approbatio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4ea8a-b6a2-4c98-b7f4-f6762df49e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678f74-a37d-4d75-a77b-8130e4eec745}" ma:internalName="TaxCatchAll" ma:showField="CatchAllData" ma:web="7e34ea8a-b6a2-4c98-b7f4-f6762df49e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B07B0-F9F2-438B-B2B6-EE091445E3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48967-56B3-419E-ABC8-3E57CAD93851}">
  <ds:schemaRefs>
    <ds:schemaRef ds:uri="http://schemas.microsoft.com/office/2006/metadata/properties"/>
    <ds:schemaRef ds:uri="http://schemas.microsoft.com/office/infopath/2007/PartnerControls"/>
    <ds:schemaRef ds:uri="98b9888c-0d8f-4429-bee3-64c7fe1aa0ef"/>
    <ds:schemaRef ds:uri="5041c887-954e-411c-8947-483d20afd0bb"/>
    <ds:schemaRef ds:uri="5516d038-f885-4c11-9a2b-cd35267091ef"/>
    <ds:schemaRef ds:uri="7e34ea8a-b6a2-4c98-b7f4-f6762df49ee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632599E-08E0-4065-A10F-2C9493F99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516d038-f885-4c11-9a2b-cd35267091ef"/>
    <ds:schemaRef ds:uri="7e34ea8a-b6a2-4c98-b7f4-f6762df49e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Accueil RNCP</vt:lpstr>
      <vt:lpstr>Grille d'évaluation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</dc:creator>
  <cp:keywords/>
  <dc:description/>
  <cp:lastModifiedBy>Romain PILLON</cp:lastModifiedBy>
  <cp:revision/>
  <dcterms:created xsi:type="dcterms:W3CDTF">2022-12-07T13:14:35Z</dcterms:created>
  <dcterms:modified xsi:type="dcterms:W3CDTF">2026-07-06T08:42:13Z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0x010100BCC2D7C00EF3CC4A83ECA0A489E9DDAE</vt:lpwstr>
  </property>
  <property fmtid="{D5CDD505-2E9C-101B-9397-08002B2CF9AE}" pid="3" name="MediaServiceImageTags">
    <vt:lpwstr/>
  </property>
</Properties>
</file>